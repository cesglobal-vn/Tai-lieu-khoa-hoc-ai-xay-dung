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Kiem cheo cua" sheetId="2" state="visible" r:id="rId2"/>
    <sheet xmlns:r="http://schemas.openxmlformats.org/officeDocument/2006/relationships" name="Gia th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4" fontId="1" fillId="0" borderId="0" pivotButton="0" quotePrefix="0" xfId="0"/>
    <xf numFmtId="0" fontId="1" fillId="2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boc-khoi-luong</author>
  </authors>
  <commentList>
    <comment ref="G6" authorId="0" shapeId="0">
      <text>
        <t>[Chờ bổ sung]</t>
      </text>
    </comment>
    <comment ref="G7" authorId="0" shapeId="0">
      <text>
        <t>[Chờ bổ sung]</t>
      </text>
    </comment>
    <comment ref="G8" authorId="0" shapeId="0">
      <text>
        <t>[Chờ bổ sung]</t>
      </text>
    </comment>
    <comment ref="G9" authorId="0" shapeId="0">
      <text>
        <t>[Chờ bổ sung]</t>
      </text>
    </comment>
    <comment ref="G10" authorId="0" shapeId="0">
      <text>
        <t>[Chờ bổ sung]</t>
      </text>
    </comment>
    <comment ref="G11" authorId="0" shapeId="0">
      <text>
        <t>[Chờ bổ sung]</t>
      </text>
    </comment>
    <comment ref="G12" authorId="0" shapeId="0">
      <text>
        <t>[Chờ bổ sung]</t>
      </text>
    </comment>
    <comment ref="G13" authorId="0" shapeId="0">
      <text>
        <t>[Chờ bổ sung]</t>
      </text>
    </comment>
    <comment ref="G14" authorId="0" shapeId="0">
      <text>
        <t>[Chờ bổ sung]</t>
      </text>
    </comment>
    <comment ref="G15" authorId="0" shapeId="0">
      <text>
        <t>[Chờ bổ sung]</t>
      </text>
    </comment>
    <comment ref="G16" authorId="0" shapeId="0">
      <text>
        <t>[Chờ bổ sung]</t>
      </text>
    </comment>
    <comment ref="G17" authorId="0" shapeId="0">
      <text>
        <t>[Chờ bổ sung]</t>
      </text>
    </comment>
    <comment ref="G18" authorId="0" shapeId="0">
      <text>
        <t>[Chờ bổ sung]</t>
      </text>
    </comment>
    <comment ref="G19" authorId="0" shapeId="0">
      <text>
        <t>[Chờ bổ sung]</t>
      </text>
    </comment>
    <comment ref="G20" authorId="0" shapeId="0">
      <text>
        <t>[Chờ bổ sung]</t>
      </text>
    </comment>
    <comment ref="G21" authorId="0" shapeId="0">
      <text>
        <t>[Chờ bổ sung]</t>
      </text>
    </comment>
    <comment ref="G22" authorId="0" shapeId="0">
      <text>
        <t>[Chờ bổ sung]</t>
      </text>
    </comment>
    <comment ref="G23" authorId="0" shapeId="0">
      <text>
        <t>[Chờ bổ sung]</t>
      </text>
    </comment>
    <comment ref="G24" authorId="0" shapeId="0">
      <text>
        <t>[Chờ bổ sung]</t>
      </text>
    </comment>
    <comment ref="G25" authorId="0" shapeId="0">
      <text>
        <t>[Chờ bổ sung]</t>
      </text>
    </comment>
    <comment ref="G26" authorId="0" shapeId="0">
      <text>
        <t>[Chờ bổ sung]</t>
      </text>
    </comment>
    <comment ref="G27" authorId="0" shapeId="0">
      <text>
        <t>[Chờ bổ sung]</t>
      </text>
    </comment>
    <comment ref="G28" authorId="0" shapeId="0">
      <text>
        <t>[Chờ bổ sung]</t>
      </text>
    </comment>
    <comment ref="G29" authorId="0" shapeId="0">
      <text>
        <t>[Chờ bổ sung]</t>
      </text>
    </comment>
    <comment ref="G30" authorId="0" shapeId="0">
      <text>
        <t>[Chờ bổ sung]</t>
      </text>
    </comment>
    <comment ref="G31" authorId="0" shapeId="0">
      <text>
        <t>[Chờ bổ sung]</t>
      </text>
    </comment>
    <comment ref="G32" authorId="0" shapeId="0">
      <text>
        <t>[Chờ bổ sung]</t>
      </text>
    </comment>
    <comment ref="G33" authorId="0" shapeId="0">
      <text>
        <t>[Chờ bổ sung]</t>
      </text>
    </comment>
    <comment ref="G34" authorId="0" shapeId="0">
      <text>
        <t>[Chờ bổ sung]</t>
      </text>
    </comment>
    <comment ref="G35" authorId="0" shapeId="0">
      <text>
        <t>[Chờ bổ sung]</t>
      </text>
    </comment>
    <comment ref="G36" authorId="0" shapeId="0">
      <text>
        <t>[Chờ bổ sung]</t>
      </text>
    </comment>
    <comment ref="G37" authorId="0" shapeId="0">
      <text>
        <t>[Chờ bổ sung]</t>
      </text>
    </comment>
    <comment ref="G38" authorId="0" shapeId="0">
      <text>
        <t>[Chờ bổ sung]</t>
      </text>
    </comment>
    <comment ref="G39" authorId="0" shapeId="0">
      <text>
        <t>[Chờ bổ sung]</t>
      </text>
    </comment>
    <comment ref="G40" authorId="0" shapeId="0">
      <text>
        <t>[Chờ bổ sung]</t>
      </text>
    </comment>
    <comment ref="G41" authorId="0" shapeId="0">
      <text>
        <t>[Chờ bổ sung]</t>
      </text>
    </comment>
    <comment ref="G43" authorId="0" shapeId="0">
      <text>
        <t>[Chờ bổ sung]</t>
      </text>
    </comment>
    <comment ref="G44" authorId="0" shapeId="0">
      <text>
        <t>[Chờ bổ sung]</t>
      </text>
    </comment>
    <comment ref="G45" authorId="0" shapeId="0">
      <text>
        <t>[Chờ bổ sung]</t>
      </text>
    </comment>
    <comment ref="G46" authorId="0" shapeId="0">
      <text>
        <t>[Chờ bổ sung]</t>
      </text>
    </comment>
    <comment ref="G47" authorId="0" shapeId="0">
      <text>
        <t>[Chờ bổ sung]</t>
      </text>
    </comment>
    <comment ref="G48" authorId="0" shapeId="0">
      <text>
        <t>[Chờ bổ sung]</t>
      </text>
    </comment>
    <comment ref="G49" authorId="0" shapeId="0">
      <text>
        <t>[Chờ bổ sung]</t>
      </text>
    </comment>
    <comment ref="G50" authorId="0" shapeId="0">
      <text>
        <t>[Chờ bổ sung]</t>
      </text>
    </comment>
    <comment ref="G52" authorId="0" shapeId="0">
      <text>
        <t>[Chờ bổ sung]</t>
      </text>
    </comment>
    <comment ref="G53" authorId="0" shapeId="0">
      <text>
        <t>[Chờ bổ sung]</t>
      </text>
    </comment>
    <comment ref="G54" authorId="0" shapeId="0">
      <text>
        <t>[Chờ bổ sung]</t>
      </text>
    </comment>
    <comment ref="G55" authorId="0" shapeId="0">
      <text>
        <t>[Chờ bổ sung]</t>
      </text>
    </comment>
    <comment ref="G56" authorId="0" shapeId="0">
      <text>
        <t>[Chờ bổ sung]</t>
      </text>
    </comment>
    <comment ref="G57" authorId="0" shapeId="0">
      <text>
        <t>[Chờ bổ sung]</t>
      </text>
    </comment>
    <comment ref="G59" authorId="0" shapeId="0">
      <text>
        <t>[Chờ bổ sung]</t>
      </text>
    </comment>
    <comment ref="G60" authorId="0" shapeId="0">
      <text>
        <t>[Chờ bổ sung]</t>
      </text>
    </comment>
    <comment ref="G61" authorId="0" shapeId="0">
      <text>
        <t>[Chờ bổ sung]</t>
      </text>
    </comment>
    <comment ref="G62" authorId="0" shapeId="0">
      <text>
        <t>[Chờ bổ sung]</t>
      </text>
    </comment>
    <comment ref="G63" authorId="0" shapeId="0">
      <text>
        <t>[Chờ bổ sung]</t>
      </text>
    </comment>
    <comment ref="G64" authorId="0" shapeId="0">
      <text>
        <t>[Chờ bổ sung]</t>
      </text>
    </comment>
    <comment ref="G65" authorId="0" shapeId="0">
      <text>
        <t>[Chờ bổ sung]</t>
      </text>
    </comment>
    <comment ref="G66" authorId="0" shapeId="0">
      <text>
        <t>[Chờ bổ sung]</t>
      </text>
    </comment>
    <comment ref="G67" authorId="0" shapeId="0">
      <text>
        <t>[Chờ bổ sung]</t>
      </text>
    </comment>
    <comment ref="G68" authorId="0" shapeId="0">
      <text>
        <t>[Chờ bổ sung]</t>
      </text>
    </comment>
    <comment ref="G69" authorId="0" shapeId="0">
      <text>
        <t>[Chờ bổ sung]</t>
      </text>
    </comment>
    <comment ref="G70" authorId="0" shapeId="0">
      <text>
        <t>[Chờ bổ sung]</t>
      </text>
    </comment>
    <comment ref="G71" authorId="0" shapeId="0">
      <text>
        <t>[Chờ bổ sung]</t>
      </text>
    </comment>
    <comment ref="G72" authorId="0" shapeId="0">
      <text>
        <t>[Chờ bổ sung]</t>
      </text>
    </comment>
    <comment ref="G73" authorId="0" shapeId="0">
      <text>
        <t>[Chờ bổ sung]</t>
      </text>
    </comment>
    <comment ref="G74" authorId="0" shapeId="0">
      <text>
        <t>[Chờ bổ sung]</t>
      </text>
    </comment>
    <comment ref="G75" authorId="0" shapeId="0">
      <text>
        <t>[Chờ bổ sung]</t>
      </text>
    </comment>
    <comment ref="G76" authorId="0" shapeId="0">
      <text>
        <t>[Chờ bổ sung]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48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42" customWidth="1" min="12" max="12"/>
    <col width="26" customWidth="1" min="13" max="13"/>
  </cols>
  <sheetData>
    <row r="1">
      <c r="A1" t="inlineStr">
        <is>
          <t>BẢNG KHỐI LƯỢNG PHẦN THÔ NHÀ PHỐ LÔ 7x20M, CÔNG TY CES AI</t>
        </is>
      </c>
    </row>
    <row r="2">
      <c r="A2" t="inlineStr">
        <is>
          <t>Nguồn: 03_mo-ta-tu-ban-ve.json (đơn vị mm). Script: boc-khoi-luong.py. Khối lượng hiển thị 2 số lẻ, tính trên số đầy đủ.</t>
        </is>
      </c>
    </row>
    <row r="4">
      <c r="A4" s="1" t="inlineStr">
        <is>
          <t>STT</t>
        </is>
      </c>
      <c r="B4" s="1" t="inlineStr">
        <is>
          <t>Mã</t>
        </is>
      </c>
      <c r="C4" s="1" t="inlineStr">
        <is>
          <t>Tên công việc</t>
        </is>
      </c>
      <c r="D4" s="1" t="inlineStr">
        <is>
          <t>Đơn vị</t>
        </is>
      </c>
      <c r="E4" s="1" t="inlineStr">
        <is>
          <t>Diễn giải</t>
        </is>
      </c>
      <c r="F4" s="1" t="inlineStr">
        <is>
          <t>KL thiết kế</t>
        </is>
      </c>
      <c r="G4" s="1" t="inlineStr">
        <is>
          <t>Hao hụt (%)</t>
        </is>
      </c>
      <c r="H4" s="1" t="inlineStr">
        <is>
          <t>KL hao hụt</t>
        </is>
      </c>
      <c r="I4" s="1" t="inlineStr">
        <is>
          <t>KL mua</t>
        </is>
      </c>
      <c r="J4" s="1" t="inlineStr">
        <is>
          <t>Đơn giá</t>
        </is>
      </c>
      <c r="K4" s="1" t="inlineStr">
        <is>
          <t>Thành tiền</t>
        </is>
      </c>
      <c r="L4" s="1" t="inlineStr">
        <is>
          <t>Nguồn</t>
        </is>
      </c>
      <c r="M4" s="1" t="inlineStr">
        <is>
          <t>Ghi chú</t>
        </is>
      </c>
    </row>
    <row r="5">
      <c r="A5" t="inlineStr">
        <is>
          <t>(1)</t>
        </is>
      </c>
      <c r="B5" t="inlineStr"/>
      <c r="C5" s="1" t="inlineStr">
        <is>
          <t>TƯỜNG XÂY 200</t>
        </is>
      </c>
    </row>
    <row r="6">
      <c r="A6" t="n">
        <v>1</v>
      </c>
      <c r="B6" t="inlineStr">
        <is>
          <t>TX-T1</t>
        </is>
      </c>
      <c r="C6" t="inlineStr">
        <is>
          <t>Tường xây 200 tầng T1: phần tường đặc, cao 3480 mm</t>
        </is>
      </c>
      <c r="D6" t="inlineStr">
        <is>
          <t>m2</t>
        </is>
      </c>
      <c r="E6" t="inlineStr">
        <is>
          <t>(1200+1000+2300+600+700+1200+300+400+400+1200+6400+3400+2000+500+500+1700+1700) mm x 3480 mm</t>
        </is>
      </c>
      <c r="F6" s="2" t="n">
        <v>88.73999999999999</v>
      </c>
      <c r="G6" s="3" t="n"/>
      <c r="H6" s="2">
        <f>F6*G6</f>
        <v/>
      </c>
      <c r="I6" s="2">
        <f>F6*(1+G6)</f>
        <v/>
      </c>
      <c r="J6" s="3" t="n"/>
      <c r="K6" s="4">
        <f>I6*J6</f>
        <v/>
      </c>
      <c r="L6" t="inlineStr">
        <is>
          <t>mat_bang.T1.tuong (dày 200); cao_do.T1-&gt;T2</t>
        </is>
      </c>
      <c r="M6" t="inlineStr">
        <is>
          <t>Hao hụt, đơn giá: [Chờ bổ sung]</t>
        </is>
      </c>
    </row>
    <row r="7">
      <c r="A7" t="n">
        <v>2</v>
      </c>
      <c r="B7" t="inlineStr">
        <is>
          <t>TX-T1</t>
        </is>
      </c>
      <c r="C7" t="inlineStr">
        <is>
          <t>Tường xây 200 tầng T1: cộng phần tường tại vị trí lỗ cửa</t>
        </is>
      </c>
      <c r="D7" t="inlineStr">
        <is>
          <t>m2</t>
        </is>
      </c>
      <c r="E7" t="inlineStr">
        <is>
          <t>(1600+900+600+600+1200+3600+1200) mm x 3480 mm</t>
        </is>
      </c>
      <c r="F7" s="2" t="n">
        <v>33.756</v>
      </c>
      <c r="G7" s="3" t="n"/>
      <c r="H7" s="2">
        <f>F7*G7</f>
        <v/>
      </c>
      <c r="I7" s="2">
        <f>F7*(1+G7)</f>
        <v/>
      </c>
      <c r="J7" s="3" t="n"/>
      <c r="K7" s="4">
        <f>I7*J7</f>
        <v/>
      </c>
      <c r="L7" t="inlineStr">
        <is>
          <t>mat_bang.T1.cua (lỗ trong tường 200)</t>
        </is>
      </c>
      <c r="M7" t="inlineStr">
        <is>
          <t>Hao hụt, đơn giá: [Chờ bổ sung]</t>
        </is>
      </c>
    </row>
    <row r="8">
      <c r="A8" t="n">
        <v>3</v>
      </c>
      <c r="B8" t="inlineStr">
        <is>
          <t>TX-T1</t>
        </is>
      </c>
      <c r="C8" t="inlineStr">
        <is>
          <t>Tường xây 200 tầng T1: trừ lỗ cửa D1</t>
        </is>
      </c>
      <c r="D8" t="inlineStr">
        <is>
          <t>m2</t>
        </is>
      </c>
      <c r="E8" t="inlineStr">
        <is>
          <t>-3600 x 2800 mm x 1</t>
        </is>
      </c>
      <c r="F8" s="2" t="n">
        <v>-10.08</v>
      </c>
      <c r="G8" s="3" t="n"/>
      <c r="H8" s="2">
        <f>F8*G8</f>
        <v/>
      </c>
      <c r="I8" s="2">
        <f>F8*(1+G8)</f>
        <v/>
      </c>
      <c r="J8" s="3" t="n"/>
      <c r="K8" s="4">
        <f>I8*J8</f>
        <v/>
      </c>
      <c r="L8" t="inlineStr">
        <is>
          <t>mat_bang.T1.cua (D1); cua.D1.rong/cao</t>
        </is>
      </c>
      <c r="M8" t="inlineStr">
        <is>
          <t>Hao hụt, đơn giá: [Chờ bổ sung]</t>
        </is>
      </c>
    </row>
    <row r="9">
      <c r="A9" t="n">
        <v>4</v>
      </c>
      <c r="B9" t="inlineStr">
        <is>
          <t>TX-T1</t>
        </is>
      </c>
      <c r="C9" t="inlineStr">
        <is>
          <t>Tường xây 200 tầng T1: trừ lỗ cửa D2</t>
        </is>
      </c>
      <c r="D9" t="inlineStr">
        <is>
          <t>m2</t>
        </is>
      </c>
      <c r="E9" t="inlineStr">
        <is>
          <t>-900 x 2200 mm x 1</t>
        </is>
      </c>
      <c r="F9" s="2" t="n">
        <v>-1.98</v>
      </c>
      <c r="G9" s="3" t="n"/>
      <c r="H9" s="2">
        <f>F9*G9</f>
        <v/>
      </c>
      <c r="I9" s="2">
        <f>F9*(1+G9)</f>
        <v/>
      </c>
      <c r="J9" s="3" t="n"/>
      <c r="K9" s="4">
        <f>I9*J9</f>
        <v/>
      </c>
      <c r="L9" t="inlineStr">
        <is>
          <t>mat_bang.T1.cua (D2); cua.D2.rong/cao</t>
        </is>
      </c>
      <c r="M9" t="inlineStr">
        <is>
          <t>Hao hụt, đơn giá: [Chờ bổ sung]</t>
        </is>
      </c>
    </row>
    <row r="10">
      <c r="A10" t="n">
        <v>5</v>
      </c>
      <c r="B10" t="inlineStr">
        <is>
          <t>TX-T1</t>
        </is>
      </c>
      <c r="C10" t="inlineStr">
        <is>
          <t>Tường xây 200 tầng T1: trừ lỗ cửa S1</t>
        </is>
      </c>
      <c r="D10" t="inlineStr">
        <is>
          <t>m2</t>
        </is>
      </c>
      <c r="E10" t="inlineStr">
        <is>
          <t>-1600 x 2200 mm x 1</t>
        </is>
      </c>
      <c r="F10" s="2" t="n">
        <v>-3.52</v>
      </c>
      <c r="G10" s="3" t="n"/>
      <c r="H10" s="2">
        <f>F10*G10</f>
        <v/>
      </c>
      <c r="I10" s="2">
        <f>F10*(1+G10)</f>
        <v/>
      </c>
      <c r="J10" s="3" t="n"/>
      <c r="K10" s="4">
        <f>I10*J10</f>
        <v/>
      </c>
      <c r="L10" t="inlineStr">
        <is>
          <t>mat_bang.T1.cua (S1); cua.S1.rong/cao</t>
        </is>
      </c>
      <c r="M10" t="inlineStr">
        <is>
          <t>Hao hụt, đơn giá: [Chờ bổ sung]</t>
        </is>
      </c>
    </row>
    <row r="11">
      <c r="A11" t="n">
        <v>6</v>
      </c>
      <c r="B11" t="inlineStr">
        <is>
          <t>TX-T1</t>
        </is>
      </c>
      <c r="C11" t="inlineStr">
        <is>
          <t>Tường xây 200 tầng T1: trừ lỗ cửa S2</t>
        </is>
      </c>
      <c r="D11" t="inlineStr">
        <is>
          <t>m2</t>
        </is>
      </c>
      <c r="E11" t="inlineStr">
        <is>
          <t>-1200 x 1400 mm x 2</t>
        </is>
      </c>
      <c r="F11" s="2" t="n">
        <v>-3.36</v>
      </c>
      <c r="G11" s="3" t="n"/>
      <c r="H11" s="2">
        <f>F11*G11</f>
        <v/>
      </c>
      <c r="I11" s="2">
        <f>F11*(1+G11)</f>
        <v/>
      </c>
      <c r="J11" s="3" t="n"/>
      <c r="K11" s="4">
        <f>I11*J11</f>
        <v/>
      </c>
      <c r="L11" t="inlineStr">
        <is>
          <t>mat_bang.T1.cua (S2); cua.S2.rong/cao</t>
        </is>
      </c>
      <c r="M11" t="inlineStr">
        <is>
          <t>Hao hụt, đơn giá: [Chờ bổ sung]</t>
        </is>
      </c>
    </row>
    <row r="12">
      <c r="A12" t="n">
        <v>7</v>
      </c>
      <c r="B12" t="inlineStr">
        <is>
          <t>TX-T1</t>
        </is>
      </c>
      <c r="C12" t="inlineStr">
        <is>
          <t>Tường xây 200 tầng T1: trừ lỗ cửa S3</t>
        </is>
      </c>
      <c r="D12" t="inlineStr">
        <is>
          <t>m2</t>
        </is>
      </c>
      <c r="E12" t="inlineStr">
        <is>
          <t>-600 x 1800 mm x 1</t>
        </is>
      </c>
      <c r="F12" s="2" t="n">
        <v>-1.08</v>
      </c>
      <c r="G12" s="3" t="n"/>
      <c r="H12" s="2">
        <f>F12*G12</f>
        <v/>
      </c>
      <c r="I12" s="2">
        <f>F12*(1+G12)</f>
        <v/>
      </c>
      <c r="J12" s="3" t="n"/>
      <c r="K12" s="4">
        <f>I12*J12</f>
        <v/>
      </c>
      <c r="L12" t="inlineStr">
        <is>
          <t>mat_bang.T1.cua (S3); cua.S3.rong/cao</t>
        </is>
      </c>
      <c r="M12" t="inlineStr">
        <is>
          <t>Hao hụt, đơn giá: [Chờ bổ sung]</t>
        </is>
      </c>
    </row>
    <row r="13">
      <c r="A13" t="n">
        <v>8</v>
      </c>
      <c r="B13" t="inlineStr">
        <is>
          <t>TX-T1</t>
        </is>
      </c>
      <c r="C13" t="inlineStr">
        <is>
          <t>Tường xây 200 tầng T1: trừ lỗ cửa S4</t>
        </is>
      </c>
      <c r="D13" t="inlineStr">
        <is>
          <t>m2</t>
        </is>
      </c>
      <c r="E13" t="inlineStr">
        <is>
          <t>-600 x 600 mm x 1</t>
        </is>
      </c>
      <c r="F13" s="2" t="n">
        <v>-0.36</v>
      </c>
      <c r="G13" s="3" t="n"/>
      <c r="H13" s="2">
        <f>F13*G13</f>
        <v/>
      </c>
      <c r="I13" s="2">
        <f>F13*(1+G13)</f>
        <v/>
      </c>
      <c r="J13" s="3" t="n"/>
      <c r="K13" s="4">
        <f>I13*J13</f>
        <v/>
      </c>
      <c r="L13" t="inlineStr">
        <is>
          <t>mat_bang.T1.cua (S4); cua.S4.rong/cao</t>
        </is>
      </c>
      <c r="M13" t="inlineStr">
        <is>
          <t>Hao hụt, đơn giá: [Chờ bổ sung]</t>
        </is>
      </c>
    </row>
    <row r="14">
      <c r="A14" s="1" t="n">
        <v>9</v>
      </c>
      <c r="B14" s="1" t="inlineStr">
        <is>
          <t>TX-T1</t>
        </is>
      </c>
      <c r="C14" s="1" t="inlineStr">
        <is>
          <t>Cộng tường xây 200 tầng T1 (diện tích)</t>
        </is>
      </c>
      <c r="D14" s="1" t="inlineStr">
        <is>
          <t>m2</t>
        </is>
      </c>
      <c r="E14" s="1" t="inlineStr">
        <is>
          <t>Tổng các dòng trên</t>
        </is>
      </c>
      <c r="F14" s="5">
        <f>SUM(F6:F13)</f>
        <v/>
      </c>
      <c r="G14" s="6" t="n"/>
      <c r="H14" s="5">
        <f>F14*G14</f>
        <v/>
      </c>
      <c r="I14" s="5">
        <f>F14*(1+G14)</f>
        <v/>
      </c>
      <c r="J14" s="6" t="n"/>
      <c r="K14" s="7">
        <f>I14*J14</f>
        <v/>
      </c>
      <c r="L14" s="1" t="inlineStr"/>
      <c r="M14" s="1" t="inlineStr">
        <is>
          <t>Hao hụt, đơn giá: [Chờ bổ sung]</t>
        </is>
      </c>
    </row>
    <row r="15">
      <c r="A15" s="1" t="n">
        <v>10</v>
      </c>
      <c r="B15" s="1" t="inlineStr">
        <is>
          <t>TX-T1</t>
        </is>
      </c>
      <c r="C15" s="1" t="inlineStr">
        <is>
          <t>Tường xây 200 tầng T1 (thể tích)</t>
        </is>
      </c>
      <c r="D15" s="1" t="inlineStr">
        <is>
          <t>m3</t>
        </is>
      </c>
      <c r="E15" s="1" t="inlineStr">
        <is>
          <t>Diện tích x 0.2 m</t>
        </is>
      </c>
      <c r="F15" s="5">
        <f>F14*0.2</f>
        <v/>
      </c>
      <c r="G15" s="6" t="n"/>
      <c r="H15" s="5">
        <f>F15*G15</f>
        <v/>
      </c>
      <c r="I15" s="5">
        <f>F15*(1+G15)</f>
        <v/>
      </c>
      <c r="J15" s="6" t="n"/>
      <c r="K15" s="7">
        <f>I15*J15</f>
        <v/>
      </c>
      <c r="L15" s="1" t="inlineStr"/>
      <c r="M15" s="1" t="inlineStr">
        <is>
          <t>Hao hụt, đơn giá: [Chờ bổ sung]</t>
        </is>
      </c>
    </row>
    <row r="16">
      <c r="A16" t="n">
        <v>11</v>
      </c>
      <c r="B16" t="inlineStr">
        <is>
          <t>TX-T2</t>
        </is>
      </c>
      <c r="C16" t="inlineStr">
        <is>
          <t>Tường xây 200 tầng T2: phần tường đặc, cao 3280 mm</t>
        </is>
      </c>
      <c r="D16" t="inlineStr">
        <is>
          <t>m2</t>
        </is>
      </c>
      <c r="E16" t="inlineStr">
        <is>
          <t>(1000+1400+1200+700+1200+300+400+400+6400+3400+2000+1100+1100+1700+1700) mm x 3280 mm</t>
        </is>
      </c>
      <c r="F16" s="2" t="n">
        <v>78.72</v>
      </c>
      <c r="G16" s="3" t="n"/>
      <c r="H16" s="2">
        <f>F16*G16</f>
        <v/>
      </c>
      <c r="I16" s="2">
        <f>F16*(1+G16)</f>
        <v/>
      </c>
      <c r="J16" s="3" t="n"/>
      <c r="K16" s="4">
        <f>I16*J16</f>
        <v/>
      </c>
      <c r="L16" t="inlineStr">
        <is>
          <t>mat_bang.T2.tuong (dày 200); cao_do.T2-&gt;T3</t>
        </is>
      </c>
      <c r="M16" t="inlineStr">
        <is>
          <t>Hao hụt, đơn giá: [Chờ bổ sung]</t>
        </is>
      </c>
    </row>
    <row r="17">
      <c r="A17" t="n">
        <v>12</v>
      </c>
      <c r="B17" t="inlineStr">
        <is>
          <t>TX-T2</t>
        </is>
      </c>
      <c r="C17" t="inlineStr">
        <is>
          <t>Tường xây 200 tầng T2: cộng phần tường tại vị trí lỗ cửa</t>
        </is>
      </c>
      <c r="D17" t="inlineStr">
        <is>
          <t>m2</t>
        </is>
      </c>
      <c r="E17" t="inlineStr">
        <is>
          <t>(1600+1200+600+600+1200+2400+1200) mm x 3280 mm</t>
        </is>
      </c>
      <c r="F17" s="2" t="n">
        <v>28.864</v>
      </c>
      <c r="G17" s="3" t="n"/>
      <c r="H17" s="2">
        <f>F17*G17</f>
        <v/>
      </c>
      <c r="I17" s="2">
        <f>F17*(1+G17)</f>
        <v/>
      </c>
      <c r="J17" s="3" t="n"/>
      <c r="K17" s="4">
        <f>I17*J17</f>
        <v/>
      </c>
      <c r="L17" t="inlineStr">
        <is>
          <t>mat_bang.T2.cua (lỗ trong tường 200)</t>
        </is>
      </c>
      <c r="M17" t="inlineStr">
        <is>
          <t>Hao hụt, đơn giá: [Chờ bổ sung]</t>
        </is>
      </c>
    </row>
    <row r="18">
      <c r="A18" t="n">
        <v>13</v>
      </c>
      <c r="B18" t="inlineStr">
        <is>
          <t>TX-T2</t>
        </is>
      </c>
      <c r="C18" t="inlineStr">
        <is>
          <t>Tường xây 200 tầng T2: trừ lỗ cửa D3</t>
        </is>
      </c>
      <c r="D18" t="inlineStr">
        <is>
          <t>m2</t>
        </is>
      </c>
      <c r="E18" t="inlineStr">
        <is>
          <t>-2400 x 2600 mm x 1</t>
        </is>
      </c>
      <c r="F18" s="2" t="n">
        <v>-6.24</v>
      </c>
      <c r="G18" s="3" t="n"/>
      <c r="H18" s="2">
        <f>F18*G18</f>
        <v/>
      </c>
      <c r="I18" s="2">
        <f>F18*(1+G18)</f>
        <v/>
      </c>
      <c r="J18" s="3" t="n"/>
      <c r="K18" s="4">
        <f>I18*J18</f>
        <v/>
      </c>
      <c r="L18" t="inlineStr">
        <is>
          <t>mat_bang.T2.cua (D3); cua.D3.rong/cao</t>
        </is>
      </c>
      <c r="M18" t="inlineStr">
        <is>
          <t>Hao hụt, đơn giá: [Chờ bổ sung]</t>
        </is>
      </c>
    </row>
    <row r="19">
      <c r="A19" t="n">
        <v>14</v>
      </c>
      <c r="B19" t="inlineStr">
        <is>
          <t>TX-T2</t>
        </is>
      </c>
      <c r="C19" t="inlineStr">
        <is>
          <t>Tường xây 200 tầng T2: trừ lỗ cửa S1</t>
        </is>
      </c>
      <c r="D19" t="inlineStr">
        <is>
          <t>m2</t>
        </is>
      </c>
      <c r="E19" t="inlineStr">
        <is>
          <t>-1600 x 2200 mm x 1</t>
        </is>
      </c>
      <c r="F19" s="2" t="n">
        <v>-3.52</v>
      </c>
      <c r="G19" s="3" t="n"/>
      <c r="H19" s="2">
        <f>F19*G19</f>
        <v/>
      </c>
      <c r="I19" s="2">
        <f>F19*(1+G19)</f>
        <v/>
      </c>
      <c r="J19" s="3" t="n"/>
      <c r="K19" s="4">
        <f>I19*J19</f>
        <v/>
      </c>
      <c r="L19" t="inlineStr">
        <is>
          <t>mat_bang.T2.cua (S1); cua.S1.rong/cao</t>
        </is>
      </c>
      <c r="M19" t="inlineStr">
        <is>
          <t>Hao hụt, đơn giá: [Chờ bổ sung]</t>
        </is>
      </c>
    </row>
    <row r="20">
      <c r="A20" t="n">
        <v>15</v>
      </c>
      <c r="B20" t="inlineStr">
        <is>
          <t>TX-T2</t>
        </is>
      </c>
      <c r="C20" t="inlineStr">
        <is>
          <t>Tường xây 200 tầng T2: trừ lỗ cửa S2</t>
        </is>
      </c>
      <c r="D20" t="inlineStr">
        <is>
          <t>m2</t>
        </is>
      </c>
      <c r="E20" t="inlineStr">
        <is>
          <t>-1200 x 1400 mm x 3</t>
        </is>
      </c>
      <c r="F20" s="2" t="n">
        <v>-5.04</v>
      </c>
      <c r="G20" s="3" t="n"/>
      <c r="H20" s="2">
        <f>F20*G20</f>
        <v/>
      </c>
      <c r="I20" s="2">
        <f>F20*(1+G20)</f>
        <v/>
      </c>
      <c r="J20" s="3" t="n"/>
      <c r="K20" s="4">
        <f>I20*J20</f>
        <v/>
      </c>
      <c r="L20" t="inlineStr">
        <is>
          <t>mat_bang.T2.cua (S2); cua.S2.rong/cao</t>
        </is>
      </c>
      <c r="M20" t="inlineStr">
        <is>
          <t>Hao hụt, đơn giá: [Chờ bổ sung]</t>
        </is>
      </c>
    </row>
    <row r="21">
      <c r="A21" t="n">
        <v>16</v>
      </c>
      <c r="B21" t="inlineStr">
        <is>
          <t>TX-T2</t>
        </is>
      </c>
      <c r="C21" t="inlineStr">
        <is>
          <t>Tường xây 200 tầng T2: trừ lỗ cửa S3</t>
        </is>
      </c>
      <c r="D21" t="inlineStr">
        <is>
          <t>m2</t>
        </is>
      </c>
      <c r="E21" t="inlineStr">
        <is>
          <t>-600 x 1800 mm x 1</t>
        </is>
      </c>
      <c r="F21" s="2" t="n">
        <v>-1.08</v>
      </c>
      <c r="G21" s="3" t="n"/>
      <c r="H21" s="2">
        <f>F21*G21</f>
        <v/>
      </c>
      <c r="I21" s="2">
        <f>F21*(1+G21)</f>
        <v/>
      </c>
      <c r="J21" s="3" t="n"/>
      <c r="K21" s="4">
        <f>I21*J21</f>
        <v/>
      </c>
      <c r="L21" t="inlineStr">
        <is>
          <t>mat_bang.T2.cua (S3); cua.S3.rong/cao</t>
        </is>
      </c>
      <c r="M21" t="inlineStr">
        <is>
          <t>Hao hụt, đơn giá: [Chờ bổ sung]</t>
        </is>
      </c>
    </row>
    <row r="22">
      <c r="A22" t="n">
        <v>17</v>
      </c>
      <c r="B22" t="inlineStr">
        <is>
          <t>TX-T2</t>
        </is>
      </c>
      <c r="C22" t="inlineStr">
        <is>
          <t>Tường xây 200 tầng T2: trừ lỗ cửa S4</t>
        </is>
      </c>
      <c r="D22" t="inlineStr">
        <is>
          <t>m2</t>
        </is>
      </c>
      <c r="E22" t="inlineStr">
        <is>
          <t>-600 x 600 mm x 1</t>
        </is>
      </c>
      <c r="F22" s="2" t="n">
        <v>-0.36</v>
      </c>
      <c r="G22" s="3" t="n"/>
      <c r="H22" s="2">
        <f>F22*G22</f>
        <v/>
      </c>
      <c r="I22" s="2">
        <f>F22*(1+G22)</f>
        <v/>
      </c>
      <c r="J22" s="3" t="n"/>
      <c r="K22" s="4">
        <f>I22*J22</f>
        <v/>
      </c>
      <c r="L22" t="inlineStr">
        <is>
          <t>mat_bang.T2.cua (S4); cua.S4.rong/cao</t>
        </is>
      </c>
      <c r="M22" t="inlineStr">
        <is>
          <t>Hao hụt, đơn giá: [Chờ bổ sung]</t>
        </is>
      </c>
    </row>
    <row r="23">
      <c r="A23" s="1" t="n">
        <v>18</v>
      </c>
      <c r="B23" s="1" t="inlineStr">
        <is>
          <t>TX-T2</t>
        </is>
      </c>
      <c r="C23" s="1" t="inlineStr">
        <is>
          <t>Cộng tường xây 200 tầng T2 (diện tích)</t>
        </is>
      </c>
      <c r="D23" s="1" t="inlineStr">
        <is>
          <t>m2</t>
        </is>
      </c>
      <c r="E23" s="1" t="inlineStr">
        <is>
          <t>Tổng các dòng trên</t>
        </is>
      </c>
      <c r="F23" s="5">
        <f>SUM(F16:F22)</f>
        <v/>
      </c>
      <c r="G23" s="6" t="n"/>
      <c r="H23" s="5">
        <f>F23*G23</f>
        <v/>
      </c>
      <c r="I23" s="5">
        <f>F23*(1+G23)</f>
        <v/>
      </c>
      <c r="J23" s="6" t="n"/>
      <c r="K23" s="7">
        <f>I23*J23</f>
        <v/>
      </c>
      <c r="L23" s="1" t="inlineStr"/>
      <c r="M23" s="1" t="inlineStr">
        <is>
          <t>Hao hụt, đơn giá: [Chờ bổ sung]</t>
        </is>
      </c>
    </row>
    <row r="24">
      <c r="A24" s="1" t="n">
        <v>19</v>
      </c>
      <c r="B24" s="1" t="inlineStr">
        <is>
          <t>TX-T2</t>
        </is>
      </c>
      <c r="C24" s="1" t="inlineStr">
        <is>
          <t>Tường xây 200 tầng T2 (thể tích)</t>
        </is>
      </c>
      <c r="D24" s="1" t="inlineStr">
        <is>
          <t>m3</t>
        </is>
      </c>
      <c r="E24" s="1" t="inlineStr">
        <is>
          <t>Diện tích x 0.2 m</t>
        </is>
      </c>
      <c r="F24" s="5">
        <f>F23*0.2</f>
        <v/>
      </c>
      <c r="G24" s="6" t="n"/>
      <c r="H24" s="5">
        <f>F24*G24</f>
        <v/>
      </c>
      <c r="I24" s="5">
        <f>F24*(1+G24)</f>
        <v/>
      </c>
      <c r="J24" s="6" t="n"/>
      <c r="K24" s="7">
        <f>I24*J24</f>
        <v/>
      </c>
      <c r="L24" s="1" t="inlineStr"/>
      <c r="M24" s="1" t="inlineStr">
        <is>
          <t>Hao hụt, đơn giá: [Chờ bổ sung]</t>
        </is>
      </c>
    </row>
    <row r="25">
      <c r="A25" t="n">
        <v>20</v>
      </c>
      <c r="B25" t="inlineStr">
        <is>
          <t>TX-T3</t>
        </is>
      </c>
      <c r="C25" t="inlineStr">
        <is>
          <t>Tường xây 200 tầng T3: phần tường đặc, cao 3280 mm</t>
        </is>
      </c>
      <c r="D25" t="inlineStr">
        <is>
          <t>m2</t>
        </is>
      </c>
      <c r="E25" t="inlineStr">
        <is>
          <t>(700+1200+300+400+400+3400+2000+1700+1700) mm x 3280 mm</t>
        </is>
      </c>
      <c r="F25" s="2" t="n">
        <v>38.704</v>
      </c>
      <c r="G25" s="3" t="n"/>
      <c r="H25" s="2">
        <f>F25*G25</f>
        <v/>
      </c>
      <c r="I25" s="2">
        <f>F25*(1+G25)</f>
        <v/>
      </c>
      <c r="J25" s="3" t="n"/>
      <c r="K25" s="4">
        <f>I25*J25</f>
        <v/>
      </c>
      <c r="L25" t="inlineStr">
        <is>
          <t>mat_bang.T3.tuong (dày 200); cao_do.T3-&gt;ST</t>
        </is>
      </c>
      <c r="M25" t="inlineStr">
        <is>
          <t>Hao hụt, đơn giá: [Chờ bổ sung]</t>
        </is>
      </c>
    </row>
    <row r="26">
      <c r="A26" t="n">
        <v>21</v>
      </c>
      <c r="B26" t="inlineStr">
        <is>
          <t>TX-T3</t>
        </is>
      </c>
      <c r="C26" t="inlineStr">
        <is>
          <t>Tường xây 200 tầng T3: phần tường đặc, cao 3400 mm</t>
        </is>
      </c>
      <c r="D26" t="inlineStr">
        <is>
          <t>m2</t>
        </is>
      </c>
      <c r="E26" t="inlineStr">
        <is>
          <t>(1000+1400+1200+6400+500+500) mm x 3400 mm</t>
        </is>
      </c>
      <c r="F26" s="2" t="n">
        <v>37.4</v>
      </c>
      <c r="G26" s="3" t="n"/>
      <c r="H26" s="2">
        <f>F26*G26</f>
        <v/>
      </c>
      <c r="I26" s="2">
        <f>F26*(1+G26)</f>
        <v/>
      </c>
      <c r="J26" s="3" t="n"/>
      <c r="K26" s="4">
        <f>I26*J26</f>
        <v/>
      </c>
      <c r="L26" t="inlineStr">
        <is>
          <t>mat_bang.T3.tuong (dày 200); cao_do.T3-&gt;ST</t>
        </is>
      </c>
      <c r="M26" t="inlineStr">
        <is>
          <t>Hao hụt, đơn giá: [Chờ bổ sung]</t>
        </is>
      </c>
    </row>
    <row r="27">
      <c r="A27" t="n">
        <v>22</v>
      </c>
      <c r="B27" t="inlineStr">
        <is>
          <t>TX-T3</t>
        </is>
      </c>
      <c r="C27" t="inlineStr">
        <is>
          <t>Tường xây 200 tầng T3: cộng phần tường tại vị trí lỗ cửa</t>
        </is>
      </c>
      <c r="D27" t="inlineStr">
        <is>
          <t>m2</t>
        </is>
      </c>
      <c r="E27" t="inlineStr">
        <is>
          <t>(600+600+1200+1200) mm x 3280 mm</t>
        </is>
      </c>
      <c r="F27" s="2" t="n">
        <v>11.808</v>
      </c>
      <c r="G27" s="3" t="n"/>
      <c r="H27" s="2">
        <f>F27*G27</f>
        <v/>
      </c>
      <c r="I27" s="2">
        <f>F27*(1+G27)</f>
        <v/>
      </c>
      <c r="J27" s="3" t="n"/>
      <c r="K27" s="4">
        <f>I27*J27</f>
        <v/>
      </c>
      <c r="L27" t="inlineStr">
        <is>
          <t>mat_bang.T3.cua (lỗ trong tường 200)</t>
        </is>
      </c>
      <c r="M27" t="inlineStr">
        <is>
          <t>Hao hụt, đơn giá: [Chờ bổ sung]</t>
        </is>
      </c>
    </row>
    <row r="28">
      <c r="A28" t="n">
        <v>23</v>
      </c>
      <c r="B28" t="inlineStr">
        <is>
          <t>TX-T3</t>
        </is>
      </c>
      <c r="C28" t="inlineStr">
        <is>
          <t>Tường xây 200 tầng T3: cộng phần tường tại vị trí lỗ cửa</t>
        </is>
      </c>
      <c r="D28" t="inlineStr">
        <is>
          <t>m2</t>
        </is>
      </c>
      <c r="E28" t="inlineStr">
        <is>
          <t>(1600+1200+3600) mm x 3400 mm</t>
        </is>
      </c>
      <c r="F28" s="2" t="n">
        <v>21.76</v>
      </c>
      <c r="G28" s="3" t="n"/>
      <c r="H28" s="2">
        <f>F28*G28</f>
        <v/>
      </c>
      <c r="I28" s="2">
        <f>F28*(1+G28)</f>
        <v/>
      </c>
      <c r="J28" s="3" t="n"/>
      <c r="K28" s="4">
        <f>I28*J28</f>
        <v/>
      </c>
      <c r="L28" t="inlineStr">
        <is>
          <t>mat_bang.T3.cua (lỗ trong tường 200)</t>
        </is>
      </c>
      <c r="M28" t="inlineStr">
        <is>
          <t>Hao hụt, đơn giá: [Chờ bổ sung]</t>
        </is>
      </c>
    </row>
    <row r="29">
      <c r="A29" t="n">
        <v>24</v>
      </c>
      <c r="B29" t="inlineStr">
        <is>
          <t>TX-T3</t>
        </is>
      </c>
      <c r="C29" t="inlineStr">
        <is>
          <t>Tường xây 200 tầng T3: trừ lỗ cửa S1</t>
        </is>
      </c>
      <c r="D29" t="inlineStr">
        <is>
          <t>m2</t>
        </is>
      </c>
      <c r="E29" t="inlineStr">
        <is>
          <t>-1600 x 2200 mm x 1</t>
        </is>
      </c>
      <c r="F29" s="2" t="n">
        <v>-3.52</v>
      </c>
      <c r="G29" s="3" t="n"/>
      <c r="H29" s="2">
        <f>F29*G29</f>
        <v/>
      </c>
      <c r="I29" s="2">
        <f>F29*(1+G29)</f>
        <v/>
      </c>
      <c r="J29" s="3" t="n"/>
      <c r="K29" s="4">
        <f>I29*J29</f>
        <v/>
      </c>
      <c r="L29" t="inlineStr">
        <is>
          <t>mat_bang.T3.cua (S1); cua.S1.rong/cao</t>
        </is>
      </c>
      <c r="M29" t="inlineStr">
        <is>
          <t>Hao hụt, đơn giá: [Chờ bổ sung]</t>
        </is>
      </c>
    </row>
    <row r="30">
      <c r="A30" t="n">
        <v>25</v>
      </c>
      <c r="B30" t="inlineStr">
        <is>
          <t>TX-T3</t>
        </is>
      </c>
      <c r="C30" t="inlineStr">
        <is>
          <t>Tường xây 200 tầng T3: trừ lỗ cửa S2</t>
        </is>
      </c>
      <c r="D30" t="inlineStr">
        <is>
          <t>m2</t>
        </is>
      </c>
      <c r="E30" t="inlineStr">
        <is>
          <t>-1200 x 1400 mm x 3</t>
        </is>
      </c>
      <c r="F30" s="2" t="n">
        <v>-5.04</v>
      </c>
      <c r="G30" s="3" t="n"/>
      <c r="H30" s="2">
        <f>F30*G30</f>
        <v/>
      </c>
      <c r="I30" s="2">
        <f>F30*(1+G30)</f>
        <v/>
      </c>
      <c r="J30" s="3" t="n"/>
      <c r="K30" s="4">
        <f>I30*J30</f>
        <v/>
      </c>
      <c r="L30" t="inlineStr">
        <is>
          <t>mat_bang.T3.cua (S2); cua.S2.rong/cao</t>
        </is>
      </c>
      <c r="M30" t="inlineStr">
        <is>
          <t>Hao hụt, đơn giá: [Chờ bổ sung]</t>
        </is>
      </c>
    </row>
    <row r="31">
      <c r="A31" t="n">
        <v>26</v>
      </c>
      <c r="B31" t="inlineStr">
        <is>
          <t>TX-T3</t>
        </is>
      </c>
      <c r="C31" t="inlineStr">
        <is>
          <t>Tường xây 200 tầng T3: trừ lỗ cửa S3</t>
        </is>
      </c>
      <c r="D31" t="inlineStr">
        <is>
          <t>m2</t>
        </is>
      </c>
      <c r="E31" t="inlineStr">
        <is>
          <t>-600 x 1800 mm x 1</t>
        </is>
      </c>
      <c r="F31" s="2" t="n">
        <v>-1.08</v>
      </c>
      <c r="G31" s="3" t="n"/>
      <c r="H31" s="2">
        <f>F31*G31</f>
        <v/>
      </c>
      <c r="I31" s="2">
        <f>F31*(1+G31)</f>
        <v/>
      </c>
      <c r="J31" s="3" t="n"/>
      <c r="K31" s="4">
        <f>I31*J31</f>
        <v/>
      </c>
      <c r="L31" t="inlineStr">
        <is>
          <t>mat_bang.T3.cua (S3); cua.S3.rong/cao</t>
        </is>
      </c>
      <c r="M31" t="inlineStr">
        <is>
          <t>Hao hụt, đơn giá: [Chờ bổ sung]</t>
        </is>
      </c>
    </row>
    <row r="32">
      <c r="A32" t="n">
        <v>27</v>
      </c>
      <c r="B32" t="inlineStr">
        <is>
          <t>TX-T3</t>
        </is>
      </c>
      <c r="C32" t="inlineStr">
        <is>
          <t>Tường xây 200 tầng T3: trừ lỗ cửa S4</t>
        </is>
      </c>
      <c r="D32" t="inlineStr">
        <is>
          <t>m2</t>
        </is>
      </c>
      <c r="E32" t="inlineStr">
        <is>
          <t>-600 x 600 mm x 1</t>
        </is>
      </c>
      <c r="F32" s="2" t="n">
        <v>-0.36</v>
      </c>
      <c r="G32" s="3" t="n"/>
      <c r="H32" s="2">
        <f>F32*G32</f>
        <v/>
      </c>
      <c r="I32" s="2">
        <f>F32*(1+G32)</f>
        <v/>
      </c>
      <c r="J32" s="3" t="n"/>
      <c r="K32" s="4">
        <f>I32*J32</f>
        <v/>
      </c>
      <c r="L32" t="inlineStr">
        <is>
          <t>mat_bang.T3.cua (S4); cua.S4.rong/cao</t>
        </is>
      </c>
      <c r="M32" t="inlineStr">
        <is>
          <t>Hao hụt, đơn giá: [Chờ bổ sung]</t>
        </is>
      </c>
    </row>
    <row r="33">
      <c r="A33" t="n">
        <v>28</v>
      </c>
      <c r="B33" t="inlineStr">
        <is>
          <t>TX-T3</t>
        </is>
      </c>
      <c r="C33" t="inlineStr">
        <is>
          <t>Tường xây 200 tầng T3: trừ lỗ cửa S5</t>
        </is>
      </c>
      <c r="D33" t="inlineStr">
        <is>
          <t>m2</t>
        </is>
      </c>
      <c r="E33" t="inlineStr">
        <is>
          <t>-3600 x 1800 mm x 1</t>
        </is>
      </c>
      <c r="F33" s="2" t="n">
        <v>-6.48</v>
      </c>
      <c r="G33" s="3" t="n"/>
      <c r="H33" s="2">
        <f>F33*G33</f>
        <v/>
      </c>
      <c r="I33" s="2">
        <f>F33*(1+G33)</f>
        <v/>
      </c>
      <c r="J33" s="3" t="n"/>
      <c r="K33" s="4">
        <f>I33*J33</f>
        <v/>
      </c>
      <c r="L33" t="inlineStr">
        <is>
          <t>mat_bang.T3.cua (S5); cua.S5.rong/cao</t>
        </is>
      </c>
      <c r="M33" t="inlineStr">
        <is>
          <t>Hao hụt, đơn giá: [Chờ bổ sung]</t>
        </is>
      </c>
    </row>
    <row r="34">
      <c r="A34" s="1" t="n">
        <v>29</v>
      </c>
      <c r="B34" s="1" t="inlineStr">
        <is>
          <t>TX-T3</t>
        </is>
      </c>
      <c r="C34" s="1" t="inlineStr">
        <is>
          <t>Cộng tường xây 200 tầng T3 (diện tích)</t>
        </is>
      </c>
      <c r="D34" s="1" t="inlineStr">
        <is>
          <t>m2</t>
        </is>
      </c>
      <c r="E34" s="1" t="inlineStr">
        <is>
          <t>Tổng các dòng trên</t>
        </is>
      </c>
      <c r="F34" s="5">
        <f>SUM(F25:F33)</f>
        <v/>
      </c>
      <c r="G34" s="6" t="n"/>
      <c r="H34" s="5">
        <f>F34*G34</f>
        <v/>
      </c>
      <c r="I34" s="5">
        <f>F34*(1+G34)</f>
        <v/>
      </c>
      <c r="J34" s="6" t="n"/>
      <c r="K34" s="7">
        <f>I34*J34</f>
        <v/>
      </c>
      <c r="L34" s="1" t="inlineStr"/>
      <c r="M34" s="1" t="inlineStr">
        <is>
          <t>Hao hụt, đơn giá: [Chờ bổ sung]</t>
        </is>
      </c>
    </row>
    <row r="35">
      <c r="A35" s="1" t="n">
        <v>30</v>
      </c>
      <c r="B35" s="1" t="inlineStr">
        <is>
          <t>TX-T3</t>
        </is>
      </c>
      <c r="C35" s="1" t="inlineStr">
        <is>
          <t>Tường xây 200 tầng T3 (thể tích)</t>
        </is>
      </c>
      <c r="D35" s="1" t="inlineStr">
        <is>
          <t>m3</t>
        </is>
      </c>
      <c r="E35" s="1" t="inlineStr">
        <is>
          <t>Diện tích x 0.2 m</t>
        </is>
      </c>
      <c r="F35" s="5">
        <f>F34*0.2</f>
        <v/>
      </c>
      <c r="G35" s="6" t="n"/>
      <c r="H35" s="5">
        <f>F35*G35</f>
        <v/>
      </c>
      <c r="I35" s="5">
        <f>F35*(1+G35)</f>
        <v/>
      </c>
      <c r="J35" s="6" t="n"/>
      <c r="K35" s="7">
        <f>I35*J35</f>
        <v/>
      </c>
      <c r="L35" s="1" t="inlineStr"/>
      <c r="M35" s="1" t="inlineStr">
        <is>
          <t>Hao hụt, đơn giá: [Chờ bổ sung]</t>
        </is>
      </c>
    </row>
    <row r="36">
      <c r="A36" t="n">
        <v>31</v>
      </c>
      <c r="B36" t="inlineStr">
        <is>
          <t>TX-MAI</t>
        </is>
      </c>
      <c r="C36" t="inlineStr">
        <is>
          <t>Tường xây 200 tầng MAI: phần tường đặc, cao 2880 mm</t>
        </is>
      </c>
      <c r="D36" t="inlineStr">
        <is>
          <t>m2</t>
        </is>
      </c>
      <c r="E36" t="inlineStr">
        <is>
          <t>(4600+2800+900+700+2100+3400) mm x 2880 mm</t>
        </is>
      </c>
      <c r="F36" s="2" t="n">
        <v>41.76</v>
      </c>
      <c r="G36" s="3" t="n"/>
      <c r="H36" s="2">
        <f>F36*G36</f>
        <v/>
      </c>
      <c r="I36" s="2">
        <f>F36*(1+G36)</f>
        <v/>
      </c>
      <c r="J36" s="3" t="n"/>
      <c r="K36" s="4">
        <f>I36*J36</f>
        <v/>
      </c>
      <c r="L36" t="inlineStr">
        <is>
          <t>mat_bang.MAI.tuong (dày 200); cao_do.ST-&gt;TUM</t>
        </is>
      </c>
      <c r="M36" t="inlineStr">
        <is>
          <t>Hao hụt, đơn giá: [Chờ bổ sung]</t>
        </is>
      </c>
    </row>
    <row r="37">
      <c r="A37" t="n">
        <v>32</v>
      </c>
      <c r="B37" t="inlineStr">
        <is>
          <t>TX-MAI</t>
        </is>
      </c>
      <c r="C37" t="inlineStr">
        <is>
          <t>Tường xây 200 tầng MAI: cộng phần tường tại vị trí lỗ cửa</t>
        </is>
      </c>
      <c r="D37" t="inlineStr">
        <is>
          <t>m2</t>
        </is>
      </c>
      <c r="E37" t="inlineStr">
        <is>
          <t>(900+600) mm x 2880 mm</t>
        </is>
      </c>
      <c r="F37" s="2" t="n">
        <v>4.32</v>
      </c>
      <c r="G37" s="3" t="n"/>
      <c r="H37" s="2">
        <f>F37*G37</f>
        <v/>
      </c>
      <c r="I37" s="2">
        <f>F37*(1+G37)</f>
        <v/>
      </c>
      <c r="J37" s="3" t="n"/>
      <c r="K37" s="4">
        <f>I37*J37</f>
        <v/>
      </c>
      <c r="L37" t="inlineStr">
        <is>
          <t>mat_bang.MAI.cua (lỗ trong tường 200)</t>
        </is>
      </c>
      <c r="M37" t="inlineStr">
        <is>
          <t>Hao hụt, đơn giá: [Chờ bổ sung]</t>
        </is>
      </c>
    </row>
    <row r="38">
      <c r="A38" t="n">
        <v>33</v>
      </c>
      <c r="B38" t="inlineStr">
        <is>
          <t>TX-MAI</t>
        </is>
      </c>
      <c r="C38" t="inlineStr">
        <is>
          <t>Tường xây 200 tầng MAI: trừ lỗ cửa D2</t>
        </is>
      </c>
      <c r="D38" t="inlineStr">
        <is>
          <t>m2</t>
        </is>
      </c>
      <c r="E38" t="inlineStr">
        <is>
          <t>-900 x 2200 mm x 1</t>
        </is>
      </c>
      <c r="F38" s="2" t="n">
        <v>-1.98</v>
      </c>
      <c r="G38" s="3" t="n"/>
      <c r="H38" s="2">
        <f>F38*G38</f>
        <v/>
      </c>
      <c r="I38" s="2">
        <f>F38*(1+G38)</f>
        <v/>
      </c>
      <c r="J38" s="3" t="n"/>
      <c r="K38" s="4">
        <f>I38*J38</f>
        <v/>
      </c>
      <c r="L38" t="inlineStr">
        <is>
          <t>mat_bang.MAI.cua (D2); cua.D2.rong/cao</t>
        </is>
      </c>
      <c r="M38" t="inlineStr">
        <is>
          <t>Hao hụt, đơn giá: [Chờ bổ sung]</t>
        </is>
      </c>
    </row>
    <row r="39">
      <c r="A39" t="n">
        <v>34</v>
      </c>
      <c r="B39" t="inlineStr">
        <is>
          <t>TX-MAI</t>
        </is>
      </c>
      <c r="C39" t="inlineStr">
        <is>
          <t>Tường xây 200 tầng MAI: trừ lỗ cửa S3</t>
        </is>
      </c>
      <c r="D39" t="inlineStr">
        <is>
          <t>m2</t>
        </is>
      </c>
      <c r="E39" t="inlineStr">
        <is>
          <t>-600 x 1800 mm x 1</t>
        </is>
      </c>
      <c r="F39" s="2" t="n">
        <v>-1.08</v>
      </c>
      <c r="G39" s="3" t="n"/>
      <c r="H39" s="2">
        <f>F39*G39</f>
        <v/>
      </c>
      <c r="I39" s="2">
        <f>F39*(1+G39)</f>
        <v/>
      </c>
      <c r="J39" s="3" t="n"/>
      <c r="K39" s="4">
        <f>I39*J39</f>
        <v/>
      </c>
      <c r="L39" t="inlineStr">
        <is>
          <t>mat_bang.MAI.cua (S3); cua.S3.rong/cao</t>
        </is>
      </c>
      <c r="M39" t="inlineStr">
        <is>
          <t>Hao hụt, đơn giá: [Chờ bổ sung]</t>
        </is>
      </c>
    </row>
    <row r="40">
      <c r="A40" s="1" t="n">
        <v>35</v>
      </c>
      <c r="B40" s="1" t="inlineStr">
        <is>
          <t>TX-MAI</t>
        </is>
      </c>
      <c r="C40" s="1" t="inlineStr">
        <is>
          <t>Cộng tường xây 200 tầng MAI (diện tích)</t>
        </is>
      </c>
      <c r="D40" s="1" t="inlineStr">
        <is>
          <t>m2</t>
        </is>
      </c>
      <c r="E40" s="1" t="inlineStr">
        <is>
          <t>Tổng các dòng trên</t>
        </is>
      </c>
      <c r="F40" s="5">
        <f>SUM(F36:F39)</f>
        <v/>
      </c>
      <c r="G40" s="6" t="n"/>
      <c r="H40" s="5">
        <f>F40*G40</f>
        <v/>
      </c>
      <c r="I40" s="5">
        <f>F40*(1+G40)</f>
        <v/>
      </c>
      <c r="J40" s="6" t="n"/>
      <c r="K40" s="7">
        <f>I40*J40</f>
        <v/>
      </c>
      <c r="L40" s="1" t="inlineStr"/>
      <c r="M40" s="1" t="inlineStr">
        <is>
          <t>Hao hụt, đơn giá: [Chờ bổ sung]</t>
        </is>
      </c>
    </row>
    <row r="41">
      <c r="A41" s="1" t="n">
        <v>36</v>
      </c>
      <c r="B41" s="1" t="inlineStr">
        <is>
          <t>TX-MAI</t>
        </is>
      </c>
      <c r="C41" s="1" t="inlineStr">
        <is>
          <t>Tường xây 200 tầng MAI (thể tích)</t>
        </is>
      </c>
      <c r="D41" s="1" t="inlineStr">
        <is>
          <t>m3</t>
        </is>
      </c>
      <c r="E41" s="1" t="inlineStr">
        <is>
          <t>Diện tích x 0.2 m</t>
        </is>
      </c>
      <c r="F41" s="5">
        <f>F40*0.2</f>
        <v/>
      </c>
      <c r="G41" s="6" t="n"/>
      <c r="H41" s="5">
        <f>F41*G41</f>
        <v/>
      </c>
      <c r="I41" s="5">
        <f>F41*(1+G41)</f>
        <v/>
      </c>
      <c r="J41" s="6" t="n"/>
      <c r="K41" s="7">
        <f>I41*J41</f>
        <v/>
      </c>
      <c r="L41" s="1" t="inlineStr"/>
      <c r="M41" s="1" t="inlineStr">
        <is>
          <t>Hao hụt, đơn giá: [Chờ bổ sung]</t>
        </is>
      </c>
    </row>
    <row r="42">
      <c r="A42" t="inlineStr">
        <is>
          <t>(2)</t>
        </is>
      </c>
      <c r="B42" t="inlineStr"/>
      <c r="C42" s="1" t="inlineStr">
        <is>
          <t>BÊ TÔNG SÀN</t>
        </is>
      </c>
    </row>
    <row r="43">
      <c r="A43" t="n">
        <v>37</v>
      </c>
      <c r="B43" t="inlineStr">
        <is>
          <t>BTS-T1</t>
        </is>
      </c>
      <c r="C43" t="inlineStr">
        <is>
          <t>Bê tông Sàn tầng 1 (cốt ±0.000)</t>
        </is>
      </c>
      <c r="D43" t="inlineStr">
        <is>
          <t>m3</t>
        </is>
      </c>
      <c r="E43" t="inlineStr">
        <is>
          <t>5000 x 14000 x 120 mm</t>
        </is>
      </c>
      <c r="F43" s="2" t="n">
        <v>8.4</v>
      </c>
      <c r="G43" s="3" t="n"/>
      <c r="H43" s="2">
        <f>F43*G43</f>
        <v/>
      </c>
      <c r="I43" s="2">
        <f>F43*(1+G43)</f>
        <v/>
      </c>
      <c r="J43" s="3" t="n"/>
      <c r="K43" s="4">
        <f>I43*J43</f>
        <v/>
      </c>
      <c r="L43" t="inlineStr">
        <is>
          <t>mat_bang.T1.san; thong_so.Sàn BTCT dày</t>
        </is>
      </c>
      <c r="M43" t="inlineStr">
        <is>
          <t>Hao hụt, đơn giá: [Chờ bổ sung]</t>
        </is>
      </c>
    </row>
    <row r="44">
      <c r="A44" t="n">
        <v>38</v>
      </c>
      <c r="B44" t="inlineStr">
        <is>
          <t>BTS-T2</t>
        </is>
      </c>
      <c r="C44" t="inlineStr">
        <is>
          <t>Bê tông Sàn tầng 2</t>
        </is>
      </c>
      <c r="D44" t="inlineStr">
        <is>
          <t>m3</t>
        </is>
      </c>
      <c r="E44" t="inlineStr">
        <is>
          <t>5000 x 14000 x 120 mm</t>
        </is>
      </c>
      <c r="F44" s="2" t="n">
        <v>8.4</v>
      </c>
      <c r="G44" s="3" t="n"/>
      <c r="H44" s="2">
        <f>F44*G44</f>
        <v/>
      </c>
      <c r="I44" s="2">
        <f>F44*(1+G44)</f>
        <v/>
      </c>
      <c r="J44" s="3" t="n"/>
      <c r="K44" s="4">
        <f>I44*J44</f>
        <v/>
      </c>
      <c r="L44" t="inlineStr">
        <is>
          <t>mat_bang.T2.san/lo_san; thong_so.Sàn BTCT dày</t>
        </is>
      </c>
      <c r="M44" t="inlineStr">
        <is>
          <t>Hao hụt, đơn giá: [Chờ bổ sung]</t>
        </is>
      </c>
    </row>
    <row r="45">
      <c r="A45" t="n">
        <v>39</v>
      </c>
      <c r="B45" t="inlineStr">
        <is>
          <t>BTS-T2</t>
        </is>
      </c>
      <c r="C45" t="inlineStr">
        <is>
          <t>Bê tông Sàn tầng 2: trừ lỗ sàn (thang)</t>
        </is>
      </c>
      <c r="D45" t="inlineStr">
        <is>
          <t>m3</t>
        </is>
      </c>
      <c r="E45" t="inlineStr">
        <is>
          <t>-3250 x 2100 x 120 mm</t>
        </is>
      </c>
      <c r="F45" s="2" t="n">
        <v>-0.819</v>
      </c>
      <c r="G45" s="3" t="n"/>
      <c r="H45" s="2">
        <f>F45*G45</f>
        <v/>
      </c>
      <c r="I45" s="2">
        <f>F45*(1+G45)</f>
        <v/>
      </c>
      <c r="J45" s="3" t="n"/>
      <c r="K45" s="4">
        <f>I45*J45</f>
        <v/>
      </c>
      <c r="L45" t="inlineStr">
        <is>
          <t>mat_bang.T2.san/lo_san</t>
        </is>
      </c>
      <c r="M45" t="inlineStr">
        <is>
          <t>Hao hụt, đơn giá: [Chờ bổ sung]</t>
        </is>
      </c>
    </row>
    <row r="46">
      <c r="A46" t="n">
        <v>40</v>
      </c>
      <c r="B46" t="inlineStr">
        <is>
          <t>BTS-T3</t>
        </is>
      </c>
      <c r="C46" t="inlineStr">
        <is>
          <t>Bê tông Sàn tầng 3</t>
        </is>
      </c>
      <c r="D46" t="inlineStr">
        <is>
          <t>m3</t>
        </is>
      </c>
      <c r="E46" t="inlineStr">
        <is>
          <t>5000 x 12600 x 120 mm</t>
        </is>
      </c>
      <c r="F46" s="2" t="n">
        <v>7.56</v>
      </c>
      <c r="G46" s="3" t="n"/>
      <c r="H46" s="2">
        <f>F46*G46</f>
        <v/>
      </c>
      <c r="I46" s="2">
        <f>F46*(1+G46)</f>
        <v/>
      </c>
      <c r="J46" s="3" t="n"/>
      <c r="K46" s="4">
        <f>I46*J46</f>
        <v/>
      </c>
      <c r="L46" t="inlineStr">
        <is>
          <t>mat_bang.T3.san/lo_san; thong_so.Sàn BTCT dày</t>
        </is>
      </c>
      <c r="M46" t="inlineStr">
        <is>
          <t>Hao hụt, đơn giá: [Chờ bổ sung]</t>
        </is>
      </c>
    </row>
    <row r="47">
      <c r="A47" t="n">
        <v>41</v>
      </c>
      <c r="B47" t="inlineStr">
        <is>
          <t>BTS-T3</t>
        </is>
      </c>
      <c r="C47" t="inlineStr">
        <is>
          <t>Bê tông Sàn tầng 3: trừ lỗ sàn (thang)</t>
        </is>
      </c>
      <c r="D47" t="inlineStr">
        <is>
          <t>m3</t>
        </is>
      </c>
      <c r="E47" t="inlineStr">
        <is>
          <t>-3250 x 2100 x 120 mm</t>
        </is>
      </c>
      <c r="F47" s="2" t="n">
        <v>-0.819</v>
      </c>
      <c r="G47" s="3" t="n"/>
      <c r="H47" s="2">
        <f>F47*G47</f>
        <v/>
      </c>
      <c r="I47" s="2">
        <f>F47*(1+G47)</f>
        <v/>
      </c>
      <c r="J47" s="3" t="n"/>
      <c r="K47" s="4">
        <f>I47*J47</f>
        <v/>
      </c>
      <c r="L47" t="inlineStr">
        <is>
          <t>mat_bang.T3.san/lo_san</t>
        </is>
      </c>
      <c r="M47" t="inlineStr">
        <is>
          <t>Hao hụt, đơn giá: [Chờ bổ sung]</t>
        </is>
      </c>
    </row>
    <row r="48">
      <c r="A48" t="n">
        <v>42</v>
      </c>
      <c r="B48" t="inlineStr">
        <is>
          <t>BTS-ST</t>
        </is>
      </c>
      <c r="C48" t="inlineStr">
        <is>
          <t>Bê tông Sàn sân thượng</t>
        </is>
      </c>
      <c r="D48" t="inlineStr">
        <is>
          <t>m3</t>
        </is>
      </c>
      <c r="E48" t="inlineStr">
        <is>
          <t>5000 x 6000 x 120 mm</t>
        </is>
      </c>
      <c r="F48" s="2" t="n">
        <v>3.6</v>
      </c>
      <c r="G48" s="3" t="n"/>
      <c r="H48" s="2">
        <f>F48*G48</f>
        <v/>
      </c>
      <c r="I48" s="2">
        <f>F48*(1+G48)</f>
        <v/>
      </c>
      <c r="J48" s="3" t="n"/>
      <c r="K48" s="4">
        <f>I48*J48</f>
        <v/>
      </c>
      <c r="L48" t="inlineStr">
        <is>
          <t>mat_bang.MAI.san/lo_san; thong_so.Sàn BTCT dày</t>
        </is>
      </c>
      <c r="M48" t="inlineStr">
        <is>
          <t>Hao hụt, đơn giá: [Chờ bổ sung]</t>
        </is>
      </c>
    </row>
    <row r="49">
      <c r="A49" t="n">
        <v>43</v>
      </c>
      <c r="B49" t="inlineStr">
        <is>
          <t>BTS-ST</t>
        </is>
      </c>
      <c r="C49" t="inlineStr">
        <is>
          <t>Bê tông Sàn sân thượng: trừ lỗ sàn (thang)</t>
        </is>
      </c>
      <c r="D49" t="inlineStr">
        <is>
          <t>m3</t>
        </is>
      </c>
      <c r="E49" t="inlineStr">
        <is>
          <t>-3250 x 2100 x 120 mm</t>
        </is>
      </c>
      <c r="F49" s="2" t="n">
        <v>-0.819</v>
      </c>
      <c r="G49" s="3" t="n"/>
      <c r="H49" s="2">
        <f>F49*G49</f>
        <v/>
      </c>
      <c r="I49" s="2">
        <f>F49*(1+G49)</f>
        <v/>
      </c>
      <c r="J49" s="3" t="n"/>
      <c r="K49" s="4">
        <f>I49*J49</f>
        <v/>
      </c>
      <c r="L49" t="inlineStr">
        <is>
          <t>mat_bang.MAI.san/lo_san</t>
        </is>
      </c>
      <c r="M49" t="inlineStr">
        <is>
          <t>Hao hụt, đơn giá: [Chờ bổ sung]</t>
        </is>
      </c>
    </row>
    <row r="50">
      <c r="A50" t="n">
        <v>44</v>
      </c>
      <c r="B50" t="inlineStr">
        <is>
          <t>BTS-TUM</t>
        </is>
      </c>
      <c r="C50" t="inlineStr">
        <is>
          <t>Bê tông Sàn mái tum (M3 BTCT)</t>
        </is>
      </c>
      <c r="D50" t="inlineStr">
        <is>
          <t>m3</t>
        </is>
      </c>
      <c r="E50" t="inlineStr">
        <is>
          <t>5000 x 3800 x 120 mm</t>
        </is>
      </c>
      <c r="F50" s="2" t="n">
        <v>2.28</v>
      </c>
      <c r="G50" s="3" t="n"/>
      <c r="H50" s="2">
        <f>F50*G50</f>
        <v/>
      </c>
      <c r="I50" s="2">
        <f>F50*(1+G50)</f>
        <v/>
      </c>
      <c r="J50" s="3" t="n"/>
      <c r="K50" s="4">
        <f>I50*J50</f>
        <v/>
      </c>
      <c r="L50" t="inlineStr">
        <is>
          <t>mat_bang.MAI.mai.M3; thong_so.Sàn BTCT dày</t>
        </is>
      </c>
      <c r="M50" t="inlineStr">
        <is>
          <t>Hao hụt, đơn giá: [Chờ bổ sung]</t>
        </is>
      </c>
    </row>
    <row r="51">
      <c r="A51" t="inlineStr">
        <is>
          <t>(3)</t>
        </is>
      </c>
      <c r="B51" t="inlineStr"/>
      <c r="C51" s="1" t="inlineStr">
        <is>
          <t>BÊ TÔNG CỘT</t>
        </is>
      </c>
    </row>
    <row r="52">
      <c r="A52" t="n">
        <v>45</v>
      </c>
      <c r="B52" t="inlineStr">
        <is>
          <t>BTC-T1</t>
        </is>
      </c>
      <c r="C52" t="inlineStr">
        <is>
          <t>Bê tông cột 200x200 tầng T1</t>
        </is>
      </c>
      <c r="D52" t="inlineStr">
        <is>
          <t>m3</t>
        </is>
      </c>
      <c r="E52" t="inlineStr">
        <is>
          <t>200 x 200 x 3480 mm x 10 cột</t>
        </is>
      </c>
      <c r="F52" s="2" t="n">
        <v>1.392</v>
      </c>
      <c r="G52" s="3" t="n"/>
      <c r="H52" s="2">
        <f>F52*G52</f>
        <v/>
      </c>
      <c r="I52" s="2">
        <f>F52*(1+G52)</f>
        <v/>
      </c>
      <c r="J52" s="3" t="n"/>
      <c r="K52" s="4">
        <f>I52*J52</f>
        <v/>
      </c>
      <c r="L52" t="inlineStr">
        <is>
          <t>mat_bang.T1.cot; cao_do.T1-&gt;T2</t>
        </is>
      </c>
      <c r="M52" t="inlineStr">
        <is>
          <t>Hao hụt, đơn giá: [Chờ bổ sung]</t>
        </is>
      </c>
    </row>
    <row r="53">
      <c r="A53" t="n">
        <v>46</v>
      </c>
      <c r="B53" t="inlineStr">
        <is>
          <t>BTC-T2</t>
        </is>
      </c>
      <c r="C53" t="inlineStr">
        <is>
          <t>Bê tông cột 200x200 tầng T2</t>
        </is>
      </c>
      <c r="D53" t="inlineStr">
        <is>
          <t>m3</t>
        </is>
      </c>
      <c r="E53" t="inlineStr">
        <is>
          <t>200 x 200 x 3280 mm x 8 cột</t>
        </is>
      </c>
      <c r="F53" s="2" t="n">
        <v>1.0496</v>
      </c>
      <c r="G53" s="3" t="n"/>
      <c r="H53" s="2">
        <f>F53*G53</f>
        <v/>
      </c>
      <c r="I53" s="2">
        <f>F53*(1+G53)</f>
        <v/>
      </c>
      <c r="J53" s="3" t="n"/>
      <c r="K53" s="4">
        <f>I53*J53</f>
        <v/>
      </c>
      <c r="L53" t="inlineStr">
        <is>
          <t>mat_bang.T2.cot; cao_do.T2-&gt;T3</t>
        </is>
      </c>
      <c r="M53" t="inlineStr">
        <is>
          <t>Hao hụt, đơn giá: [Chờ bổ sung]</t>
        </is>
      </c>
    </row>
    <row r="54">
      <c r="A54" t="n">
        <v>47</v>
      </c>
      <c r="B54" t="inlineStr">
        <is>
          <t>BTC-T2</t>
        </is>
      </c>
      <c r="C54" t="inlineStr">
        <is>
          <t>Bê tông cột 200x200 tầng T2</t>
        </is>
      </c>
      <c r="D54" t="inlineStr">
        <is>
          <t>m3</t>
        </is>
      </c>
      <c r="E54" t="inlineStr">
        <is>
          <t>200 x 200 x 3400 mm x 2 cột</t>
        </is>
      </c>
      <c r="F54" s="2" t="n">
        <v>0.272</v>
      </c>
      <c r="G54" s="3" t="n"/>
      <c r="H54" s="2">
        <f>F54*G54</f>
        <v/>
      </c>
      <c r="I54" s="2">
        <f>F54*(1+G54)</f>
        <v/>
      </c>
      <c r="J54" s="3" t="n"/>
      <c r="K54" s="4">
        <f>I54*J54</f>
        <v/>
      </c>
      <c r="L54" t="inlineStr">
        <is>
          <t>mat_bang.T2.cot; cao_do.T2-&gt;T3</t>
        </is>
      </c>
      <c r="M54" t="inlineStr">
        <is>
          <t>Hao hụt, đơn giá: [Chờ bổ sung]</t>
        </is>
      </c>
    </row>
    <row r="55">
      <c r="A55" t="n">
        <v>48</v>
      </c>
      <c r="B55" t="inlineStr">
        <is>
          <t>BTC-T3</t>
        </is>
      </c>
      <c r="C55" t="inlineStr">
        <is>
          <t>Bê tông cột 200x200 tầng T3</t>
        </is>
      </c>
      <c r="D55" t="inlineStr">
        <is>
          <t>m3</t>
        </is>
      </c>
      <c r="E55" t="inlineStr">
        <is>
          <t>200 x 200 x 3280 mm x 6 cột</t>
        </is>
      </c>
      <c r="F55" s="2" t="n">
        <v>0.7872</v>
      </c>
      <c r="G55" s="3" t="n"/>
      <c r="H55" s="2">
        <f>F55*G55</f>
        <v/>
      </c>
      <c r="I55" s="2">
        <f>F55*(1+G55)</f>
        <v/>
      </c>
      <c r="J55" s="3" t="n"/>
      <c r="K55" s="4">
        <f>I55*J55</f>
        <v/>
      </c>
      <c r="L55" t="inlineStr">
        <is>
          <t>mat_bang.T3.cot; cao_do.T3-&gt;ST</t>
        </is>
      </c>
      <c r="M55" t="inlineStr">
        <is>
          <t>Hao hụt, đơn giá: [Chờ bổ sung]</t>
        </is>
      </c>
    </row>
    <row r="56">
      <c r="A56" t="n">
        <v>49</v>
      </c>
      <c r="B56" t="inlineStr">
        <is>
          <t>BTC-T3</t>
        </is>
      </c>
      <c r="C56" t="inlineStr">
        <is>
          <t>Bê tông cột 200x200 tầng T3</t>
        </is>
      </c>
      <c r="D56" t="inlineStr">
        <is>
          <t>m3</t>
        </is>
      </c>
      <c r="E56" t="inlineStr">
        <is>
          <t>200 x 200 x 3400 mm x 2 cột</t>
        </is>
      </c>
      <c r="F56" s="2" t="n">
        <v>0.272</v>
      </c>
      <c r="G56" s="3" t="n"/>
      <c r="H56" s="2">
        <f>F56*G56</f>
        <v/>
      </c>
      <c r="I56" s="2">
        <f>F56*(1+G56)</f>
        <v/>
      </c>
      <c r="J56" s="3" t="n"/>
      <c r="K56" s="4">
        <f>I56*J56</f>
        <v/>
      </c>
      <c r="L56" t="inlineStr">
        <is>
          <t>mat_bang.T3.cot; cao_do.T3-&gt;ST</t>
        </is>
      </c>
      <c r="M56" t="inlineStr">
        <is>
          <t>Hao hụt, đơn giá: [Chờ bổ sung]</t>
        </is>
      </c>
    </row>
    <row r="57">
      <c r="A57" t="n">
        <v>50</v>
      </c>
      <c r="B57" t="inlineStr">
        <is>
          <t>BTC-MAI</t>
        </is>
      </c>
      <c r="C57" t="inlineStr">
        <is>
          <t>Bê tông cột 200x200 tầng MAI</t>
        </is>
      </c>
      <c r="D57" t="inlineStr">
        <is>
          <t>m3</t>
        </is>
      </c>
      <c r="E57" t="inlineStr">
        <is>
          <t>200 x 200 x 2880 mm x 4 cột</t>
        </is>
      </c>
      <c r="F57" s="2" t="n">
        <v>0.4608</v>
      </c>
      <c r="G57" s="3" t="n"/>
      <c r="H57" s="2">
        <f>F57*G57</f>
        <v/>
      </c>
      <c r="I57" s="2">
        <f>F57*(1+G57)</f>
        <v/>
      </c>
      <c r="J57" s="3" t="n"/>
      <c r="K57" s="4">
        <f>I57*J57</f>
        <v/>
      </c>
      <c r="L57" t="inlineStr">
        <is>
          <t>mat_bang.MAI.cot; cao_do.ST-&gt;TUM</t>
        </is>
      </c>
      <c r="M57" t="inlineStr">
        <is>
          <t>Hao hụt, đơn giá: [Chờ bổ sung]</t>
        </is>
      </c>
    </row>
    <row r="58">
      <c r="A58" t="inlineStr">
        <is>
          <t>(4)</t>
        </is>
      </c>
      <c r="B58" t="inlineStr"/>
      <c r="C58" s="1" t="inlineStr">
        <is>
          <t>CỬA ĐI, CỬA SỔ</t>
        </is>
      </c>
    </row>
    <row r="59">
      <c r="A59" t="n">
        <v>51</v>
      </c>
      <c r="B59" t="inlineStr">
        <is>
          <t>D1</t>
        </is>
      </c>
      <c r="C59" t="inlineStr">
        <is>
          <t>Cửa đi kính khung nhôm 4 cánh 3600x2800</t>
        </is>
      </c>
      <c r="D59" t="inlineStr">
        <is>
          <t>bộ</t>
        </is>
      </c>
      <c r="E59" t="inlineStr">
        <is>
          <t>Đếm trên mặt bằng (T1:1)</t>
        </is>
      </c>
      <c r="F59" s="2" t="n">
        <v>1</v>
      </c>
      <c r="G59" s="3" t="n"/>
      <c r="H59" s="2">
        <f>F59*G59</f>
        <v/>
      </c>
      <c r="I59" s="2">
        <f>F59*(1+G59)</f>
        <v/>
      </c>
      <c r="J59" s="3" t="n"/>
      <c r="K59" s="4">
        <f>I59*J59</f>
        <v/>
      </c>
      <c r="L59" t="inlineStr">
        <is>
          <t>mat_bang.*.cua ma=D1</t>
        </is>
      </c>
      <c r="M59" t="inlineStr">
        <is>
          <t>Hao hụt, đơn giá: [Chờ bổ sung]</t>
        </is>
      </c>
    </row>
    <row r="60">
      <c r="A60" t="n">
        <v>52</v>
      </c>
      <c r="B60" t="inlineStr">
        <is>
          <t>D1</t>
        </is>
      </c>
      <c r="C60" t="inlineStr">
        <is>
          <t>Cửa đi kính khung nhôm 4 cánh: diện tích</t>
        </is>
      </c>
      <c r="D60" t="inlineStr">
        <is>
          <t>m2</t>
        </is>
      </c>
      <c r="E60" t="inlineStr">
        <is>
          <t>3600 x 2800 mm x 1</t>
        </is>
      </c>
      <c r="F60" s="2" t="n">
        <v>10.08</v>
      </c>
      <c r="G60" s="3" t="n"/>
      <c r="H60" s="2">
        <f>F60*G60</f>
        <v/>
      </c>
      <c r="I60" s="2">
        <f>F60*(1+G60)</f>
        <v/>
      </c>
      <c r="J60" s="3" t="n"/>
      <c r="K60" s="4">
        <f>I60*J60</f>
        <v/>
      </c>
      <c r="L60" t="inlineStr">
        <is>
          <t>cua.D1.rong/cao</t>
        </is>
      </c>
      <c r="M60" t="inlineStr">
        <is>
          <t>Hao hụt, đơn giá: [Chờ bổ sung]</t>
        </is>
      </c>
    </row>
    <row r="61">
      <c r="A61" t="n">
        <v>53</v>
      </c>
      <c r="B61" t="inlineStr">
        <is>
          <t>D2</t>
        </is>
      </c>
      <c r="C61" t="inlineStr">
        <is>
          <t>Cửa đi gỗ 1 cánh 900x2200</t>
        </is>
      </c>
      <c r="D61" t="inlineStr">
        <is>
          <t>bộ</t>
        </is>
      </c>
      <c r="E61" t="inlineStr">
        <is>
          <t>Đếm trên mặt bằng (T1:1, T2:2, T3:2, MAI:1)</t>
        </is>
      </c>
      <c r="F61" s="2" t="n">
        <v>6</v>
      </c>
      <c r="G61" s="3" t="n"/>
      <c r="H61" s="2">
        <f>F61*G61</f>
        <v/>
      </c>
      <c r="I61" s="2">
        <f>F61*(1+G61)</f>
        <v/>
      </c>
      <c r="J61" s="3" t="n"/>
      <c r="K61" s="4">
        <f>I61*J61</f>
        <v/>
      </c>
      <c r="L61" t="inlineStr">
        <is>
          <t>mat_bang.*.cua ma=D2</t>
        </is>
      </c>
      <c r="M61" t="inlineStr">
        <is>
          <t>Hao hụt, đơn giá: [Chờ bổ sung]</t>
        </is>
      </c>
    </row>
    <row r="62">
      <c r="A62" t="n">
        <v>54</v>
      </c>
      <c r="B62" t="inlineStr">
        <is>
          <t>D2</t>
        </is>
      </c>
      <c r="C62" t="inlineStr">
        <is>
          <t>Cửa đi gỗ 1 cánh: diện tích</t>
        </is>
      </c>
      <c r="D62" t="inlineStr">
        <is>
          <t>m2</t>
        </is>
      </c>
      <c r="E62" t="inlineStr">
        <is>
          <t>900 x 2200 mm x 6</t>
        </is>
      </c>
      <c r="F62" s="2" t="n">
        <v>11.88</v>
      </c>
      <c r="G62" s="3" t="n"/>
      <c r="H62" s="2">
        <f>F62*G62</f>
        <v/>
      </c>
      <c r="I62" s="2">
        <f>F62*(1+G62)</f>
        <v/>
      </c>
      <c r="J62" s="3" t="n"/>
      <c r="K62" s="4">
        <f>I62*J62</f>
        <v/>
      </c>
      <c r="L62" t="inlineStr">
        <is>
          <t>cua.D2.rong/cao</t>
        </is>
      </c>
      <c r="M62" t="inlineStr">
        <is>
          <t>Hao hụt, đơn giá: [Chờ bổ sung]</t>
        </is>
      </c>
    </row>
    <row r="63">
      <c r="A63" t="n">
        <v>55</v>
      </c>
      <c r="B63" t="inlineStr">
        <is>
          <t>D3</t>
        </is>
      </c>
      <c r="C63" t="inlineStr">
        <is>
          <t>Cửa đi kính lùa 2 cánh 2400x2600</t>
        </is>
      </c>
      <c r="D63" t="inlineStr">
        <is>
          <t>bộ</t>
        </is>
      </c>
      <c r="E63" t="inlineStr">
        <is>
          <t>Đếm trên mặt bằng (T2:1)</t>
        </is>
      </c>
      <c r="F63" s="2" t="n">
        <v>1</v>
      </c>
      <c r="G63" s="3" t="n"/>
      <c r="H63" s="2">
        <f>F63*G63</f>
        <v/>
      </c>
      <c r="I63" s="2">
        <f>F63*(1+G63)</f>
        <v/>
      </c>
      <c r="J63" s="3" t="n"/>
      <c r="K63" s="4">
        <f>I63*J63</f>
        <v/>
      </c>
      <c r="L63" t="inlineStr">
        <is>
          <t>mat_bang.*.cua ma=D3</t>
        </is>
      </c>
      <c r="M63" t="inlineStr">
        <is>
          <t>Hao hụt, đơn giá: [Chờ bổ sung]</t>
        </is>
      </c>
    </row>
    <row r="64">
      <c r="A64" t="n">
        <v>56</v>
      </c>
      <c r="B64" t="inlineStr">
        <is>
          <t>D3</t>
        </is>
      </c>
      <c r="C64" t="inlineStr">
        <is>
          <t>Cửa đi kính lùa 2 cánh: diện tích</t>
        </is>
      </c>
      <c r="D64" t="inlineStr">
        <is>
          <t>m2</t>
        </is>
      </c>
      <c r="E64" t="inlineStr">
        <is>
          <t>2400 x 2600 mm x 1</t>
        </is>
      </c>
      <c r="F64" s="2" t="n">
        <v>6.24</v>
      </c>
      <c r="G64" s="3" t="n"/>
      <c r="H64" s="2">
        <f>F64*G64</f>
        <v/>
      </c>
      <c r="I64" s="2">
        <f>F64*(1+G64)</f>
        <v/>
      </c>
      <c r="J64" s="3" t="n"/>
      <c r="K64" s="4">
        <f>I64*J64</f>
        <v/>
      </c>
      <c r="L64" t="inlineStr">
        <is>
          <t>cua.D3.rong/cao</t>
        </is>
      </c>
      <c r="M64" t="inlineStr">
        <is>
          <t>Hao hụt, đơn giá: [Chờ bổ sung]</t>
        </is>
      </c>
    </row>
    <row r="65">
      <c r="A65" t="n">
        <v>57</v>
      </c>
      <c r="B65" t="inlineStr">
        <is>
          <t>D4</t>
        </is>
      </c>
      <c r="C65" t="inlineStr">
        <is>
          <t>Cửa đi WC nhôm kính mờ 800x2100</t>
        </is>
      </c>
      <c r="D65" t="inlineStr">
        <is>
          <t>bộ</t>
        </is>
      </c>
      <c r="E65" t="inlineStr">
        <is>
          <t>Đếm trên mặt bằng (T1:1, T2:1, T3:1)</t>
        </is>
      </c>
      <c r="F65" s="2" t="n">
        <v>3</v>
      </c>
      <c r="G65" s="3" t="n"/>
      <c r="H65" s="2">
        <f>F65*G65</f>
        <v/>
      </c>
      <c r="I65" s="2">
        <f>F65*(1+G65)</f>
        <v/>
      </c>
      <c r="J65" s="3" t="n"/>
      <c r="K65" s="4">
        <f>I65*J65</f>
        <v/>
      </c>
      <c r="L65" t="inlineStr">
        <is>
          <t>mat_bang.*.cua ma=D4</t>
        </is>
      </c>
      <c r="M65" t="inlineStr">
        <is>
          <t>Hao hụt, đơn giá: [Chờ bổ sung]</t>
        </is>
      </c>
    </row>
    <row r="66">
      <c r="A66" t="n">
        <v>58</v>
      </c>
      <c r="B66" t="inlineStr">
        <is>
          <t>D4</t>
        </is>
      </c>
      <c r="C66" t="inlineStr">
        <is>
          <t>Cửa đi WC nhôm kính mờ: diện tích</t>
        </is>
      </c>
      <c r="D66" t="inlineStr">
        <is>
          <t>m2</t>
        </is>
      </c>
      <c r="E66" t="inlineStr">
        <is>
          <t>800 x 2100 mm x 3</t>
        </is>
      </c>
      <c r="F66" s="2" t="n">
        <v>5.04</v>
      </c>
      <c r="G66" s="3" t="n"/>
      <c r="H66" s="2">
        <f>F66*G66</f>
        <v/>
      </c>
      <c r="I66" s="2">
        <f>F66*(1+G66)</f>
        <v/>
      </c>
      <c r="J66" s="3" t="n"/>
      <c r="K66" s="4">
        <f>I66*J66</f>
        <v/>
      </c>
      <c r="L66" t="inlineStr">
        <is>
          <t>cua.D4.rong/cao</t>
        </is>
      </c>
      <c r="M66" t="inlineStr">
        <is>
          <t>Hao hụt, đơn giá: [Chờ bổ sung]</t>
        </is>
      </c>
    </row>
    <row r="67">
      <c r="A67" t="n">
        <v>59</v>
      </c>
      <c r="B67" t="inlineStr">
        <is>
          <t>S1</t>
        </is>
      </c>
      <c r="C67" t="inlineStr">
        <is>
          <t>Cửa sổ kính lớn 1600x2200</t>
        </is>
      </c>
      <c r="D67" t="inlineStr">
        <is>
          <t>bộ</t>
        </is>
      </c>
      <c r="E67" t="inlineStr">
        <is>
          <t>Đếm trên mặt bằng (T1:1, T2:1, T3:1)</t>
        </is>
      </c>
      <c r="F67" s="2" t="n">
        <v>3</v>
      </c>
      <c r="G67" s="3" t="n"/>
      <c r="H67" s="2">
        <f>F67*G67</f>
        <v/>
      </c>
      <c r="I67" s="2">
        <f>F67*(1+G67)</f>
        <v/>
      </c>
      <c r="J67" s="3" t="n"/>
      <c r="K67" s="4">
        <f>I67*J67</f>
        <v/>
      </c>
      <c r="L67" t="inlineStr">
        <is>
          <t>mat_bang.*.cua ma=S1</t>
        </is>
      </c>
      <c r="M67" t="inlineStr">
        <is>
          <t>Hao hụt, đơn giá: [Chờ bổ sung]</t>
        </is>
      </c>
    </row>
    <row r="68">
      <c r="A68" t="n">
        <v>60</v>
      </c>
      <c r="B68" t="inlineStr">
        <is>
          <t>S1</t>
        </is>
      </c>
      <c r="C68" t="inlineStr">
        <is>
          <t>Cửa sổ kính lớn: diện tích</t>
        </is>
      </c>
      <c r="D68" t="inlineStr">
        <is>
          <t>m2</t>
        </is>
      </c>
      <c r="E68" t="inlineStr">
        <is>
          <t>1600 x 2200 mm x 3</t>
        </is>
      </c>
      <c r="F68" s="2" t="n">
        <v>10.56</v>
      </c>
      <c r="G68" s="3" t="n"/>
      <c r="H68" s="2">
        <f>F68*G68</f>
        <v/>
      </c>
      <c r="I68" s="2">
        <f>F68*(1+G68)</f>
        <v/>
      </c>
      <c r="J68" s="3" t="n"/>
      <c r="K68" s="4">
        <f>I68*J68</f>
        <v/>
      </c>
      <c r="L68" t="inlineStr">
        <is>
          <t>cua.S1.rong/cao</t>
        </is>
      </c>
      <c r="M68" t="inlineStr">
        <is>
          <t>Hao hụt, đơn giá: [Chờ bổ sung]</t>
        </is>
      </c>
    </row>
    <row r="69">
      <c r="A69" t="n">
        <v>61</v>
      </c>
      <c r="B69" t="inlineStr">
        <is>
          <t>S2</t>
        </is>
      </c>
      <c r="C69" t="inlineStr">
        <is>
          <t>Cửa sổ kính 2 cánh 1200x1400</t>
        </is>
      </c>
      <c r="D69" t="inlineStr">
        <is>
          <t>bộ</t>
        </is>
      </c>
      <c r="E69" t="inlineStr">
        <is>
          <t>Đếm trên mặt bằng (T1:2, T2:3, T3:3)</t>
        </is>
      </c>
      <c r="F69" s="2" t="n">
        <v>8</v>
      </c>
      <c r="G69" s="3" t="n"/>
      <c r="H69" s="2">
        <f>F69*G69</f>
        <v/>
      </c>
      <c r="I69" s="2">
        <f>F69*(1+G69)</f>
        <v/>
      </c>
      <c r="J69" s="3" t="n"/>
      <c r="K69" s="4">
        <f>I69*J69</f>
        <v/>
      </c>
      <c r="L69" t="inlineStr">
        <is>
          <t>mat_bang.*.cua ma=S2</t>
        </is>
      </c>
      <c r="M69" t="inlineStr">
        <is>
          <t>Hao hụt, đơn giá: [Chờ bổ sung]</t>
        </is>
      </c>
    </row>
    <row r="70">
      <c r="A70" t="n">
        <v>62</v>
      </c>
      <c r="B70" t="inlineStr">
        <is>
          <t>S2</t>
        </is>
      </c>
      <c r="C70" t="inlineStr">
        <is>
          <t>Cửa sổ kính 2 cánh: diện tích</t>
        </is>
      </c>
      <c r="D70" t="inlineStr">
        <is>
          <t>m2</t>
        </is>
      </c>
      <c r="E70" t="inlineStr">
        <is>
          <t>1200 x 1400 mm x 8</t>
        </is>
      </c>
      <c r="F70" s="2" t="n">
        <v>13.44</v>
      </c>
      <c r="G70" s="3" t="n"/>
      <c r="H70" s="2">
        <f>F70*G70</f>
        <v/>
      </c>
      <c r="I70" s="2">
        <f>F70*(1+G70)</f>
        <v/>
      </c>
      <c r="J70" s="3" t="n"/>
      <c r="K70" s="4">
        <f>I70*J70</f>
        <v/>
      </c>
      <c r="L70" t="inlineStr">
        <is>
          <t>cua.S2.rong/cao</t>
        </is>
      </c>
      <c r="M70" t="inlineStr">
        <is>
          <t>Hao hụt, đơn giá: [Chờ bổ sung]</t>
        </is>
      </c>
    </row>
    <row r="71">
      <c r="A71" t="n">
        <v>63</v>
      </c>
      <c r="B71" t="inlineStr">
        <is>
          <t>S3</t>
        </is>
      </c>
      <c r="C71" t="inlineStr">
        <is>
          <t>Cửa sổ kính đứng cầu thang 600x1800</t>
        </is>
      </c>
      <c r="D71" t="inlineStr">
        <is>
          <t>bộ</t>
        </is>
      </c>
      <c r="E71" t="inlineStr">
        <is>
          <t>Đếm trên mặt bằng (T1:1, T2:1, T3:1, MAI:1)</t>
        </is>
      </c>
      <c r="F71" s="2" t="n">
        <v>4</v>
      </c>
      <c r="G71" s="3" t="n"/>
      <c r="H71" s="2">
        <f>F71*G71</f>
        <v/>
      </c>
      <c r="I71" s="2">
        <f>F71*(1+G71)</f>
        <v/>
      </c>
      <c r="J71" s="3" t="n"/>
      <c r="K71" s="4">
        <f>I71*J71</f>
        <v/>
      </c>
      <c r="L71" t="inlineStr">
        <is>
          <t>mat_bang.*.cua ma=S3</t>
        </is>
      </c>
      <c r="M71" t="inlineStr">
        <is>
          <t>Hao hụt, đơn giá: [Chờ bổ sung]</t>
        </is>
      </c>
    </row>
    <row r="72">
      <c r="A72" t="n">
        <v>64</v>
      </c>
      <c r="B72" t="inlineStr">
        <is>
          <t>S3</t>
        </is>
      </c>
      <c r="C72" t="inlineStr">
        <is>
          <t>Cửa sổ kính đứng cầu thang: diện tích</t>
        </is>
      </c>
      <c r="D72" t="inlineStr">
        <is>
          <t>m2</t>
        </is>
      </c>
      <c r="E72" t="inlineStr">
        <is>
          <t>600 x 1800 mm x 4</t>
        </is>
      </c>
      <c r="F72" s="2" t="n">
        <v>4.32</v>
      </c>
      <c r="G72" s="3" t="n"/>
      <c r="H72" s="2">
        <f>F72*G72</f>
        <v/>
      </c>
      <c r="I72" s="2">
        <f>F72*(1+G72)</f>
        <v/>
      </c>
      <c r="J72" s="3" t="n"/>
      <c r="K72" s="4">
        <f>I72*J72</f>
        <v/>
      </c>
      <c r="L72" t="inlineStr">
        <is>
          <t>cua.S3.rong/cao</t>
        </is>
      </c>
      <c r="M72" t="inlineStr">
        <is>
          <t>Hao hụt, đơn giá: [Chờ bổ sung]</t>
        </is>
      </c>
    </row>
    <row r="73">
      <c r="A73" t="n">
        <v>65</v>
      </c>
      <c r="B73" t="inlineStr">
        <is>
          <t>S4</t>
        </is>
      </c>
      <c r="C73" t="inlineStr">
        <is>
          <t>Cửa sổ lật WC 600x600</t>
        </is>
      </c>
      <c r="D73" t="inlineStr">
        <is>
          <t>bộ</t>
        </is>
      </c>
      <c r="E73" t="inlineStr">
        <is>
          <t>Đếm trên mặt bằng (T1:1, T2:1, T3:1)</t>
        </is>
      </c>
      <c r="F73" s="2" t="n">
        <v>3</v>
      </c>
      <c r="G73" s="3" t="n"/>
      <c r="H73" s="2">
        <f>F73*G73</f>
        <v/>
      </c>
      <c r="I73" s="2">
        <f>F73*(1+G73)</f>
        <v/>
      </c>
      <c r="J73" s="3" t="n"/>
      <c r="K73" s="4">
        <f>I73*J73</f>
        <v/>
      </c>
      <c r="L73" t="inlineStr">
        <is>
          <t>mat_bang.*.cua ma=S4</t>
        </is>
      </c>
      <c r="M73" t="inlineStr">
        <is>
          <t>Hao hụt, đơn giá: [Chờ bổ sung]</t>
        </is>
      </c>
    </row>
    <row r="74">
      <c r="A74" t="n">
        <v>66</v>
      </c>
      <c r="B74" t="inlineStr">
        <is>
          <t>S4</t>
        </is>
      </c>
      <c r="C74" t="inlineStr">
        <is>
          <t>Cửa sổ lật WC: diện tích</t>
        </is>
      </c>
      <c r="D74" t="inlineStr">
        <is>
          <t>m2</t>
        </is>
      </c>
      <c r="E74" t="inlineStr">
        <is>
          <t>600 x 600 mm x 3</t>
        </is>
      </c>
      <c r="F74" s="2" t="n">
        <v>1.08</v>
      </c>
      <c r="G74" s="3" t="n"/>
      <c r="H74" s="2">
        <f>F74*G74</f>
        <v/>
      </c>
      <c r="I74" s="2">
        <f>F74*(1+G74)</f>
        <v/>
      </c>
      <c r="J74" s="3" t="n"/>
      <c r="K74" s="4">
        <f>I74*J74</f>
        <v/>
      </c>
      <c r="L74" t="inlineStr">
        <is>
          <t>cua.S4.rong/cao</t>
        </is>
      </c>
      <c r="M74" t="inlineStr">
        <is>
          <t>Hao hụt, đơn giá: [Chờ bổ sung]</t>
        </is>
      </c>
    </row>
    <row r="75">
      <c r="A75" t="n">
        <v>67</v>
      </c>
      <c r="B75" t="inlineStr">
        <is>
          <t>S5</t>
        </is>
      </c>
      <c r="C75" t="inlineStr">
        <is>
          <t>Cửa sổ kính băng 3600x1800</t>
        </is>
      </c>
      <c r="D75" t="inlineStr">
        <is>
          <t>bộ</t>
        </is>
      </c>
      <c r="E75" t="inlineStr">
        <is>
          <t>Đếm trên mặt bằng (T3:1)</t>
        </is>
      </c>
      <c r="F75" s="2" t="n">
        <v>1</v>
      </c>
      <c r="G75" s="3" t="n"/>
      <c r="H75" s="2">
        <f>F75*G75</f>
        <v/>
      </c>
      <c r="I75" s="2">
        <f>F75*(1+G75)</f>
        <v/>
      </c>
      <c r="J75" s="3" t="n"/>
      <c r="K75" s="4">
        <f>I75*J75</f>
        <v/>
      </c>
      <c r="L75" t="inlineStr">
        <is>
          <t>mat_bang.*.cua ma=S5</t>
        </is>
      </c>
      <c r="M75" t="inlineStr">
        <is>
          <t>Hao hụt, đơn giá: [Chờ bổ sung]</t>
        </is>
      </c>
    </row>
    <row r="76">
      <c r="A76" t="n">
        <v>68</v>
      </c>
      <c r="B76" t="inlineStr">
        <is>
          <t>S5</t>
        </is>
      </c>
      <c r="C76" t="inlineStr">
        <is>
          <t>Cửa sổ kính băng: diện tích</t>
        </is>
      </c>
      <c r="D76" t="inlineStr">
        <is>
          <t>m2</t>
        </is>
      </c>
      <c r="E76" t="inlineStr">
        <is>
          <t>3600 x 1800 mm x 1</t>
        </is>
      </c>
      <c r="F76" s="2" t="n">
        <v>6.48</v>
      </c>
      <c r="G76" s="3" t="n"/>
      <c r="H76" s="2">
        <f>F76*G76</f>
        <v/>
      </c>
      <c r="I76" s="2">
        <f>F76*(1+G76)</f>
        <v/>
      </c>
      <c r="J76" s="3" t="n"/>
      <c r="K76" s="4">
        <f>I76*J76</f>
        <v/>
      </c>
      <c r="L76" t="inlineStr">
        <is>
          <t>cua.S5.rong/cao</t>
        </is>
      </c>
      <c r="M76" t="inlineStr">
        <is>
          <t>Hao hụt, đơn giá: [Chờ bổ sung]</t>
        </is>
      </c>
    </row>
    <row r="78">
      <c r="A78" t="inlineStr"/>
      <c r="B78" t="inlineStr"/>
      <c r="C78" s="1" t="inlineStr">
        <is>
          <t>TỔNG HỢP</t>
        </is>
      </c>
    </row>
    <row r="79">
      <c r="A79" t="inlineStr"/>
      <c r="B79" t="inlineStr"/>
      <c r="C79" s="1" t="inlineStr">
        <is>
          <t>Tổng tường xây 200 (diện tích)</t>
        </is>
      </c>
      <c r="D79" t="inlineStr">
        <is>
          <t>m2</t>
        </is>
      </c>
      <c r="E79" t="inlineStr"/>
      <c r="F79" s="2">
        <f>F14+F23+F34+F40</f>
        <v/>
      </c>
    </row>
    <row r="80">
      <c r="A80" t="inlineStr"/>
      <c r="B80" t="inlineStr"/>
      <c r="C80" s="1" t="inlineStr">
        <is>
          <t>Tổng tường xây 200 (thể tích)</t>
        </is>
      </c>
      <c r="D80" t="inlineStr">
        <is>
          <t>m3</t>
        </is>
      </c>
      <c r="E80" t="inlineStr"/>
      <c r="F80" s="2">
        <f>F15+F24+F35+F41</f>
        <v/>
      </c>
    </row>
    <row r="81">
      <c r="A81" t="inlineStr"/>
      <c r="B81" t="inlineStr"/>
      <c r="C81" s="1" t="inlineStr">
        <is>
          <t>Tổng bê tông sàn</t>
        </is>
      </c>
      <c r="D81" t="inlineStr">
        <is>
          <t>m3</t>
        </is>
      </c>
      <c r="E81" t="inlineStr"/>
      <c r="F81" s="2">
        <f>F43+F44+F45+F46+F47+F48+F49+F50</f>
        <v/>
      </c>
    </row>
    <row r="82">
      <c r="A82" t="inlineStr"/>
      <c r="B82" t="inlineStr"/>
      <c r="C82" s="1" t="inlineStr">
        <is>
          <t>Tổng bê tông cột</t>
        </is>
      </c>
      <c r="D82" t="inlineStr">
        <is>
          <t>m3</t>
        </is>
      </c>
      <c r="E82" t="inlineStr"/>
      <c r="F82" s="2">
        <f>F52+F53+F54+F55+F56+F57</f>
        <v/>
      </c>
    </row>
    <row r="83">
      <c r="A83" t="inlineStr"/>
      <c r="B83" t="inlineStr"/>
      <c r="C83" s="1" t="inlineStr">
        <is>
          <t>Tổng số bộ cửa</t>
        </is>
      </c>
      <c r="D83" t="inlineStr">
        <is>
          <t>bộ</t>
        </is>
      </c>
      <c r="E83" t="inlineStr"/>
      <c r="F83" s="2">
        <f>F59+F61+F63+F65+F67+F69+F71+F73+F75</f>
        <v/>
      </c>
    </row>
    <row r="84">
      <c r="A84" t="inlineStr"/>
      <c r="B84" t="inlineStr"/>
      <c r="C84" s="1" t="inlineStr">
        <is>
          <t>Tổng diện tích cửa</t>
        </is>
      </c>
      <c r="D84" t="inlineStr">
        <is>
          <t>m2</t>
        </is>
      </c>
      <c r="E84" t="inlineStr"/>
      <c r="F84" s="2">
        <f>F60+F62+F64+F66+F68+F70+F72+F74+F76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Đếm trên mặt bằng</t>
        </is>
      </c>
      <c r="C1" s="1" t="inlineStr">
        <is>
          <t>Mục cua (JSON) so_luong</t>
        </is>
      </c>
      <c r="D1" s="1" t="inlineStr">
        <is>
          <t>File 14_ Số lượng</t>
        </is>
      </c>
      <c r="E1" s="1" t="inlineStr">
        <is>
          <t>Rộng JSON</t>
        </is>
      </c>
      <c r="F1" s="1" t="inlineStr">
        <is>
          <t>Rộng file 14</t>
        </is>
      </c>
      <c r="G1" s="1" t="inlineStr">
        <is>
          <t>Cao JSON</t>
        </is>
      </c>
      <c r="H1" s="1" t="inlineStr">
        <is>
          <t>Cao file 14</t>
        </is>
      </c>
      <c r="I1" s="1" t="inlineStr">
        <is>
          <t>Kết quả</t>
        </is>
      </c>
    </row>
    <row r="2">
      <c r="A2" t="inlineStr">
        <is>
          <t>D1</t>
        </is>
      </c>
      <c r="B2" t="n">
        <v>1</v>
      </c>
      <c r="C2" t="n">
        <v>1</v>
      </c>
      <c r="D2" t="n">
        <v>1</v>
      </c>
      <c r="E2" t="n">
        <v>3600</v>
      </c>
      <c r="F2" t="n">
        <v>3600</v>
      </c>
      <c r="G2" t="n">
        <v>2800</v>
      </c>
      <c r="H2" t="n">
        <v>2800</v>
      </c>
      <c r="I2" t="inlineStr">
        <is>
          <t>Khớp</t>
        </is>
      </c>
    </row>
    <row r="3">
      <c r="A3" t="inlineStr">
        <is>
          <t>D2</t>
        </is>
      </c>
      <c r="B3" t="n">
        <v>6</v>
      </c>
      <c r="C3" t="n">
        <v>6</v>
      </c>
      <c r="D3" t="n">
        <v>6</v>
      </c>
      <c r="E3" t="n">
        <v>900</v>
      </c>
      <c r="F3" t="n">
        <v>900</v>
      </c>
      <c r="G3" t="n">
        <v>2200</v>
      </c>
      <c r="H3" t="n">
        <v>2200</v>
      </c>
      <c r="I3" t="inlineStr">
        <is>
          <t>Khớp</t>
        </is>
      </c>
    </row>
    <row r="4">
      <c r="A4" t="inlineStr">
        <is>
          <t>D3</t>
        </is>
      </c>
      <c r="B4" t="n">
        <v>1</v>
      </c>
      <c r="C4" t="n">
        <v>1</v>
      </c>
      <c r="D4" t="n">
        <v>1</v>
      </c>
      <c r="E4" t="n">
        <v>2400</v>
      </c>
      <c r="F4" t="n">
        <v>2400</v>
      </c>
      <c r="G4" t="n">
        <v>2600</v>
      </c>
      <c r="H4" t="n">
        <v>2600</v>
      </c>
      <c r="I4" t="inlineStr">
        <is>
          <t>Khớp</t>
        </is>
      </c>
    </row>
    <row r="5">
      <c r="A5" t="inlineStr">
        <is>
          <t>D4</t>
        </is>
      </c>
      <c r="B5" t="n">
        <v>3</v>
      </c>
      <c r="C5" t="n">
        <v>3</v>
      </c>
      <c r="D5" t="n">
        <v>3</v>
      </c>
      <c r="E5" t="n">
        <v>800</v>
      </c>
      <c r="F5" t="n">
        <v>800</v>
      </c>
      <c r="G5" t="n">
        <v>2100</v>
      </c>
      <c r="H5" t="n">
        <v>2100</v>
      </c>
      <c r="I5" t="inlineStr">
        <is>
          <t>Khớp</t>
        </is>
      </c>
    </row>
    <row r="6">
      <c r="A6" t="inlineStr">
        <is>
          <t>S1</t>
        </is>
      </c>
      <c r="B6" t="n">
        <v>3</v>
      </c>
      <c r="C6" t="n">
        <v>3</v>
      </c>
      <c r="D6" t="n">
        <v>3</v>
      </c>
      <c r="E6" t="n">
        <v>1600</v>
      </c>
      <c r="F6" t="n">
        <v>1600</v>
      </c>
      <c r="G6" t="n">
        <v>2200</v>
      </c>
      <c r="H6" t="n">
        <v>2200</v>
      </c>
      <c r="I6" t="inlineStr">
        <is>
          <t>Khớp</t>
        </is>
      </c>
    </row>
    <row r="7">
      <c r="A7" t="inlineStr">
        <is>
          <t>S2</t>
        </is>
      </c>
      <c r="B7" t="n">
        <v>8</v>
      </c>
      <c r="C7" t="n">
        <v>8</v>
      </c>
      <c r="D7" t="n">
        <v>8</v>
      </c>
      <c r="E7" t="n">
        <v>1200</v>
      </c>
      <c r="F7" t="n">
        <v>1200</v>
      </c>
      <c r="G7" t="n">
        <v>1400</v>
      </c>
      <c r="H7" t="n">
        <v>1400</v>
      </c>
      <c r="I7" t="inlineStr">
        <is>
          <t>Khớp</t>
        </is>
      </c>
    </row>
    <row r="8">
      <c r="A8" t="inlineStr">
        <is>
          <t>S3</t>
        </is>
      </c>
      <c r="B8" t="n">
        <v>4</v>
      </c>
      <c r="C8" t="n">
        <v>4</v>
      </c>
      <c r="D8" t="n">
        <v>4</v>
      </c>
      <c r="E8" t="n">
        <v>600</v>
      </c>
      <c r="F8" t="n">
        <v>600</v>
      </c>
      <c r="G8" t="n">
        <v>1800</v>
      </c>
      <c r="H8" t="n">
        <v>1800</v>
      </c>
      <c r="I8" t="inlineStr">
        <is>
          <t>Khớp</t>
        </is>
      </c>
    </row>
    <row r="9">
      <c r="A9" t="inlineStr">
        <is>
          <t>S4</t>
        </is>
      </c>
      <c r="B9" t="n">
        <v>3</v>
      </c>
      <c r="C9" t="n">
        <v>3</v>
      </c>
      <c r="D9" t="n">
        <v>3</v>
      </c>
      <c r="E9" t="n">
        <v>600</v>
      </c>
      <c r="F9" t="n">
        <v>600</v>
      </c>
      <c r="G9" t="n">
        <v>600</v>
      </c>
      <c r="H9" t="n">
        <v>600</v>
      </c>
      <c r="I9" t="inlineStr">
        <is>
          <t>Khớp</t>
        </is>
      </c>
    </row>
    <row r="10">
      <c r="A10" t="inlineStr">
        <is>
          <t>S5</t>
        </is>
      </c>
      <c r="B10" t="n">
        <v>1</v>
      </c>
      <c r="C10" t="n">
        <v>1</v>
      </c>
      <c r="D10" t="n">
        <v>1</v>
      </c>
      <c r="E10" t="n">
        <v>3600</v>
      </c>
      <c r="F10" t="n">
        <v>3600</v>
      </c>
      <c r="G10" t="n">
        <v>1800</v>
      </c>
      <c r="H10" t="n">
        <v>1800</v>
      </c>
      <c r="I10" t="inlineStr">
        <is>
          <t>Khớp</t>
        </is>
      </c>
    </row>
    <row r="11">
      <c r="A11" t="inlineStr">
        <is>
          <t>Tổng</t>
        </is>
      </c>
      <c r="B11">
        <f>SUM(B2:B10)</f>
        <v/>
      </c>
      <c r="C11">
        <f>SUM(C2:C10)</f>
        <v/>
      </c>
      <c r="D11">
        <f>SUM(D2:D10)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0" customWidth="1" min="2" max="2"/>
  </cols>
  <sheetData>
    <row r="1">
      <c r="A1" s="1" t="inlineStr">
        <is>
          <t>STT</t>
        </is>
      </c>
      <c r="B1" s="1" t="inlineStr">
        <is>
          <t>Giả định / ghi chú</t>
        </is>
      </c>
    </row>
    <row r="2">
      <c r="A2" t="n">
        <v>1</v>
      </c>
      <c r="B2" t="inlineStr">
        <is>
          <t>Tường xây 200: chỉ lấy hình chữ nhật trong mat_bang.*.tuong có cạnh ngắn = 200 mm. Tường 100 (vách WC, vách phòng) không tính. Lan can (mat_bang.*.lan_can) không tính vì file không ghi vật liệu.</t>
        </is>
      </c>
    </row>
    <row r="3">
      <c r="A3" t="n">
        <v>2</v>
      </c>
      <c r="B3" t="inlineStr">
        <is>
          <t>Chiều cao tường = chênh cao độ tầng (mục cao_do) trừ sàn 120 mm nếu phía trên có sàn BTCT; chỗ không có sàn phía trên (dưới mái tôn M1, M2) lấy đủ chênh cao độ. Không có dữ liệu dầm nên không trừ dầm: [THIẾU KÍCH THƯỚC - CẦN KỸ SƯ XÁC MINH].</t>
        </is>
      </c>
    </row>
    <row r="4">
      <c r="A4" t="n">
        <v>3</v>
      </c>
      <c r="B4" t="inlineStr">
        <is>
          <t>Mặt bằng 'MAI' gán cho cao độ ST (10400) tới TUM (13400). Phần tường hồi tầng 3 nằm trên cao độ ST dưới mái tôn dốc M1 chưa tính: file không ghi hướng dốc. [THIẾU KÍCH THƯỚC - CẦN KỸ SƯ XÁC MINH]</t>
        </is>
      </c>
    </row>
    <row r="5">
      <c r="A5" t="n">
        <v>4</v>
      </c>
      <c r="B5" t="inlineStr">
        <is>
          <t>Đoạn tường trên mặt bằng đã cắt tại lỗ cửa, nên diện tích = phần tường đặc + phần tại lỗ cửa (dài lỗ x cao tường) - diện tích cửa (rộng x cao theo mục cua). Tường dừng tại mép cột, cột tính riêng.</t>
        </is>
      </c>
    </row>
    <row r="6">
      <c r="A6" t="n">
        <v>5</v>
      </c>
      <c r="B6" t="inlineStr">
        <is>
          <t>Mọi sàn lấy dày 120 mm (thong_so 'Sàn BTCT dày'), kể cả sàn tầng 1 và mái tum M3. Sàn tầng 1 có thể là sàn nền trên đất: Cần xác nhận lại.</t>
        </is>
      </c>
    </row>
    <row r="7">
      <c r="A7" t="n">
        <v>6</v>
      </c>
      <c r="B7" t="inlineStr">
        <is>
          <t>Diện tích sàn lấy theo hình chữ nhật mục san (phủ cả trên tường, cột), chỉ trừ lo_san. Không trừ phần cột xuyên sàn vì cột đã tính tới đáy sàn.</t>
        </is>
      </c>
    </row>
    <row r="8">
      <c r="A8" t="n">
        <v>7</v>
      </c>
      <c r="B8" t="inlineStr">
        <is>
          <t>Cột tính từ mặt sàn tầng tới đáy sàn tầng trên (chênh cao độ - 120). Cột không có sàn phía trên (cột trục đầu nhà tầng 2 đỡ mái tôn M2, cột tầng 3 dưới mái M1) lấy đủ chênh cao độ. Cột dưới cốt ±0.000 (cổ cột, móng) không có trong file: [THIẾU KÍCH THƯỚC - CẦN KỸ SƯ XÁC MINH]</t>
        </is>
      </c>
    </row>
    <row r="9">
      <c r="A9" t="n">
        <v>8</v>
      </c>
      <c r="B9" t="inlineStr">
        <is>
          <t>Cột pergola (pergola_cot) là khung thép theo mục vat_lieu, không tính bê tông.</t>
        </is>
      </c>
    </row>
    <row r="10">
      <c r="A10" t="n">
        <v>9</v>
      </c>
      <c r="B10" t="inlineStr">
        <is>
          <t>Số bộ cửa đếm trên mặt bằng (mat_bang.*.cua); kích thước lấy từ mục cua. Đối chiếu ở sheet 'Kiem cheo cua'.</t>
        </is>
      </c>
    </row>
    <row r="11">
      <c r="A11" t="n">
        <v>10</v>
      </c>
      <c r="B11" t="inlineStr">
        <is>
          <t>Tên file ghi 'nhà 7x20m' là kích thước lô đất (ranh_dat 7000 x 20000); khối nhà trong file là 5000 x 14000 mm.</t>
        </is>
      </c>
    </row>
    <row r="12">
      <c r="A12" t="n">
        <v>11</v>
      </c>
      <c r="B12" t="inlineStr">
        <is>
          <t>Hao hụt (%) và đơn giá để trống ([Chờ bổ sung]); công thức Excel tự tính khi điền.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2026-10-10T12:10:52Z</dcterms:created>
  <dcterms:modified xmlns:dcterms="http://purl.org/dc/terms/" xmlns:xsi="http://www.w3.org/2001/XMLSchema-instance" xsi:type="dcterms:W3CDTF">2026-10-10T12:10:52Z</dcterms:modified>
</cp:coreProperties>
</file>